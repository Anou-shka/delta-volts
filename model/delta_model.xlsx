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Segments" sheetId="4" state="visible" r:id="rId6"/>
    <sheet name="IS" sheetId="5" state="visible" r:id="rId7"/>
    <sheet name="BS" sheetId="6" state="visible" r:id="rId8"/>
    <sheet name="CF" sheetId="7" state="visible" r:id="rId9"/>
    <sheet name="Schedules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6" authorId="0">
      <text>
        <r>
          <rPr>
            <sz val="10"/>
            <rFont val="Arial"/>
            <family val="2"/>
          </rPr>
          <t xml:space="preserve">Management statement, 2Q26 transcript p.12 (Delta 2Q26 results meeting, 30 Jul 2026). Rounded; translated transcript (Mandarin prevails).</t>
        </r>
      </text>
    </comment>
    <comment ref="D47" authorId="0">
      <text>
        <r>
          <rPr>
            <sz val="10"/>
            <rFont val="Arial"/>
            <family val="2"/>
          </rPr>
          <t xml:space="preserve">Management statement, 2Q26 transcript p.12 (Delta 2Q26 results meeting, 30 Jul 2026). Rounded; translated transcript (Mandarin prevails).</t>
        </r>
      </text>
    </comment>
    <comment ref="D48" authorId="0">
      <text>
        <r>
          <rPr>
            <sz val="10"/>
            <rFont val="Arial"/>
            <family val="2"/>
          </rPr>
          <t xml:space="preserve">Management statement, 2Q26 transcript p.12 (Delta 2Q26 results meeting, 30 Jul 2026). Rounded; translated transcript (Mandarin prevails).</t>
        </r>
      </text>
    </comment>
    <comment ref="D49" authorId="0">
      <text>
        <r>
          <rPr>
            <sz val="10"/>
            <rFont val="Arial"/>
            <family val="2"/>
          </rPr>
          <t xml:space="preserve">Management statement, 2Q26 transcript p.2 (Delta 2Q26 results meeting, 30 Jul 2026). Rounded; translated transcript (Mandarin prevails).</t>
        </r>
      </text>
    </comment>
  </commentList>
</comments>
</file>

<file path=xl/sharedStrings.xml><?xml version="1.0" encoding="utf-8"?>
<sst xmlns="http://schemas.openxmlformats.org/spreadsheetml/2006/main" count="708" uniqueCount="413">
  <si>
    <t xml:space="preserve">Delta Electronics, Inc. (2308.TW)</t>
  </si>
  <si>
    <t xml:space="preserve">Initiation of coverage - financial model</t>
  </si>
  <si>
    <t xml:space="preserve">Student research for educational purposes only. Not investment advice.</t>
  </si>
  <si>
    <t xml:space="preserve">Company</t>
  </si>
  <si>
    <t xml:space="preserve">Delta Electronics, Inc.</t>
  </si>
  <si>
    <t xml:space="preserve">Ticker / exchange</t>
  </si>
  <si>
    <t xml:space="preserve">2308 / Taiwan Stock Exchange</t>
  </si>
  <si>
    <t xml:space="preserve">Units</t>
  </si>
  <si>
    <t xml:space="preserve">NT$ million unless stated (reported in NT$ thousands, Taiwan IFRS)</t>
  </si>
  <si>
    <t xml:space="preserve">Latest reported period</t>
  </si>
  <si>
    <t xml:space="preserve">1H26 - six months to 30 June 2026 (reviewed)</t>
  </si>
  <si>
    <t xml:space="preserve">Forecast base period</t>
  </si>
  <si>
    <t xml:space="preserve">9M26 once Q3 2026 results are published, ~29-30 Oct 2026 (decision D2)</t>
  </si>
  <si>
    <t xml:space="preserve">Share price and date</t>
  </si>
  <si>
    <t xml:space="preserve">Set in M4 (yfinance, 2308.TW)</t>
  </si>
  <si>
    <t xml:space="preserve">Rating</t>
  </si>
  <si>
    <t xml:space="preserve">[ANALYST TO REVIEW] - set in M5</t>
  </si>
  <si>
    <t xml:space="preserve">12-month price target</t>
  </si>
  <si>
    <t xml:space="preserve">[ANALYST TO REVIEW] - set in M4/M5</t>
  </si>
  <si>
    <t xml:space="preserve">Scenario</t>
  </si>
  <si>
    <t xml:space="preserve">Model status</t>
  </si>
  <si>
    <t xml:space="preserve">M2 - historical model FY2021A-1H26A; forecasts added in M3</t>
  </si>
  <si>
    <t xml:space="preserve">Last updated</t>
  </si>
  <si>
    <t xml:space="preserve">2026-10-16</t>
  </si>
  <si>
    <t xml:space="preserve">ALL CHECKS PASS</t>
  </si>
  <si>
    <t xml:space="preserve">Key historicals (NT$ m)</t>
  </si>
  <si>
    <t xml:space="preserve">FY2023A</t>
  </si>
  <si>
    <t xml:space="preserve">FY2024A</t>
  </si>
  <si>
    <t xml:space="preserve">FY2025A</t>
  </si>
  <si>
    <t xml:space="preserve">1H26A</t>
  </si>
  <si>
    <t xml:space="preserve">Revenue</t>
  </si>
  <si>
    <t xml:space="preserve">EBIT margin</t>
  </si>
  <si>
    <t xml:space="preserve">EPS, basic (NT$)</t>
  </si>
  <si>
    <t xml:space="preserve">Free cash flow</t>
  </si>
  <si>
    <t xml:space="preserve">Net debt / (net cash)</t>
  </si>
  <si>
    <t xml:space="preserve">Sheet guide</t>
  </si>
  <si>
    <t xml:space="preserve">Assumptions</t>
  </si>
  <si>
    <t xml:space="preserve">Scenario selector; every forecast driver (M3) with its historical reference</t>
  </si>
  <si>
    <t xml:space="preserve">Historicals</t>
  </si>
  <si>
    <t xml:space="preserve">Extracted as-reported figures (inputs), FY2021A-FY2025A, 1H25A, 1H26A</t>
  </si>
  <si>
    <t xml:space="preserve">Segments</t>
  </si>
  <si>
    <t xml:space="preserve">Segment revenue and profit; AI data-centre anchors</t>
  </si>
  <si>
    <t xml:space="preserve">IS / BS / CF</t>
  </si>
  <si>
    <t xml:space="preserve">Three statements built by formula from Historicals</t>
  </si>
  <si>
    <t xml:space="preserve">Schedules</t>
  </si>
  <si>
    <t xml:space="preserve">Working capital, PP&amp;E, debt and interest, tax, dividends, returns</t>
  </si>
  <si>
    <t xml:space="preserve">Checks</t>
  </si>
  <si>
    <t xml:space="preserve">Integrity tests; all must be TRUE</t>
  </si>
  <si>
    <t xml:space="preserve">Colour key</t>
  </si>
  <si>
    <t xml:space="preserve">Blue: hard-coded input (sourced in data/sources.csv)</t>
  </si>
  <si>
    <t xml:space="preserve">Black: formula</t>
  </si>
  <si>
    <t xml:space="preserve">Green: link to another sheet</t>
  </si>
  <si>
    <t xml:space="preserve">Yellow fill: key input for the analyst</t>
  </si>
  <si>
    <t xml:space="preserve">All forecast drivers live on this sheet. M2: scenario selector and the historical reference for each driver. M3 adds FY2026E-FY2030E inputs with Bear / Base / Bull columns, set by the analyst.</t>
  </si>
  <si>
    <t xml:space="preserve">Scenario (select)</t>
  </si>
  <si>
    <t xml:space="preserve">Base</t>
  </si>
  <si>
    <t xml:space="preserve">Scenario index (1 Bear, 2 Base, 3 Bull)</t>
  </si>
  <si>
    <t xml:space="preserve">NT$ million</t>
  </si>
  <si>
    <t xml:space="preserve">Note / source</t>
  </si>
  <si>
    <t xml:space="preserve">FY2021A</t>
  </si>
  <si>
    <t xml:space="preserve">FY2022A</t>
  </si>
  <si>
    <t xml:space="preserve">Average</t>
  </si>
  <si>
    <t xml:space="preserve">31-Dec-21</t>
  </si>
  <si>
    <t xml:space="preserve">31-Dec-22</t>
  </si>
  <si>
    <t xml:space="preserve">31-Dec-23</t>
  </si>
  <si>
    <t xml:space="preserve">31-Dec-24</t>
  </si>
  <si>
    <t xml:space="preserve">31-Dec-25</t>
  </si>
  <si>
    <t xml:space="preserve">FY23-25 avail.</t>
  </si>
  <si>
    <t xml:space="preserve">Revenue growth - historical reference</t>
  </si>
  <si>
    <t xml:space="preserve">Power Electronics</t>
  </si>
  <si>
    <t xml:space="preserve">Segments sheet</t>
  </si>
  <si>
    <t xml:space="preserve">Infrastructure</t>
  </si>
  <si>
    <t xml:space="preserve">Automation</t>
  </si>
  <si>
    <t xml:space="preserve">Mobility</t>
  </si>
  <si>
    <t xml:space="preserve">Group</t>
  </si>
  <si>
    <t xml:space="preserve">IS sheet</t>
  </si>
  <si>
    <t xml:space="preserve">Margins and costs - historical reference</t>
  </si>
  <si>
    <t xml:space="preserve">Gross margin</t>
  </si>
  <si>
    <t xml:space="preserve">R&amp;D % revenue</t>
  </si>
  <si>
    <t xml:space="preserve">SG&amp;A % revenue</t>
  </si>
  <si>
    <t xml:space="preserve">Effective tax rate</t>
  </si>
  <si>
    <t xml:space="preserve">NCI % net income</t>
  </si>
  <si>
    <t xml:space="preserve">Schedules sheet</t>
  </si>
  <si>
    <t xml:space="preserve">Working capital (days) - historical reference</t>
  </si>
  <si>
    <t xml:space="preserve">DSO</t>
  </si>
  <si>
    <t xml:space="preserve">DIO</t>
  </si>
  <si>
    <t xml:space="preserve">DPO</t>
  </si>
  <si>
    <t xml:space="preserve">Capex, D&amp;A and financing - historical reference</t>
  </si>
  <si>
    <t xml:space="preserve">Total capex % revenue</t>
  </si>
  <si>
    <t xml:space="preserve">Depreciation % opening PP&amp;E</t>
  </si>
  <si>
    <t xml:space="preserve">D&amp;A % revenue</t>
  </si>
  <si>
    <t xml:space="preserve">Cost of debt</t>
  </si>
  <si>
    <t xml:space="preserve">Yield on cash</t>
  </si>
  <si>
    <t xml:space="preserve">Dividend payout</t>
  </si>
  <si>
    <t xml:space="preserve">Forecast inputs (FY2026E-FY2030E, Bear / Base / Bull) are added in M3. Base period moves to 9M26 when Q3 2026 results are published (decision D2).</t>
  </si>
  <si>
    <t xml:space="preserve">Historical financial statements - as reported</t>
  </si>
  <si>
    <t xml:space="preserve">NT$ million (reported in NT$ thousands, shown /1,000). Taiwan IFRS, consolidated. Blue = hard-coded from the filings; page reference for every value in data/sources.csv.</t>
  </si>
  <si>
    <t xml:space="preserve">Source document</t>
  </si>
  <si>
    <t xml:space="preserve">2021_annual</t>
  </si>
  <si>
    <t xml:space="preserve">2022_annual</t>
  </si>
  <si>
    <t xml:space="preserve">2023_annual</t>
  </si>
  <si>
    <t xml:space="preserve">2024_annual</t>
  </si>
  <si>
    <t xml:space="preserve">2025_annual</t>
  </si>
  <si>
    <t xml:space="preserve">2026q2 (comparative)</t>
  </si>
  <si>
    <t xml:space="preserve">2026q2</t>
  </si>
  <si>
    <t xml:space="preserve">Interim (six months)</t>
  </si>
  <si>
    <t xml:space="preserve">1H25A</t>
  </si>
  <si>
    <t xml:space="preserve">30-Jun-25</t>
  </si>
  <si>
    <t xml:space="preserve">30-Jun-26</t>
  </si>
  <si>
    <t xml:space="preserve">Income statement</t>
  </si>
  <si>
    <t xml:space="preserve">Operating revenue</t>
  </si>
  <si>
    <t xml:space="preserve">extracted; see sources.csv</t>
  </si>
  <si>
    <t xml:space="preserve">Operating costs</t>
  </si>
  <si>
    <t xml:space="preserve">Gross profit (reported)</t>
  </si>
  <si>
    <t xml:space="preserve">Selling expenses</t>
  </si>
  <si>
    <t xml:space="preserve">General and administrative expenses</t>
  </si>
  <si>
    <t xml:space="preserve">Research and development expenses</t>
  </si>
  <si>
    <t xml:space="preserve">Expected credit impairment (loss) gain</t>
  </si>
  <si>
    <t xml:space="preserve">Total operating expenses (reported)</t>
  </si>
  <si>
    <t xml:space="preserve">Operating profit (reported)</t>
  </si>
  <si>
    <t xml:space="preserve">Interest income</t>
  </si>
  <si>
    <t xml:space="preserve">Other income</t>
  </si>
  <si>
    <t xml:space="preserve">Other gains and losses</t>
  </si>
  <si>
    <t xml:space="preserve">Finance costs</t>
  </si>
  <si>
    <t xml:space="preserve">Share of profit (loss) of associates and JVs</t>
  </si>
  <si>
    <t xml:space="preserve">Total non-operating income and expenses (reported)</t>
  </si>
  <si>
    <t xml:space="preserve">Profit before income tax (reported)</t>
  </si>
  <si>
    <t xml:space="preserve">Income tax expense</t>
  </si>
  <si>
    <t xml:space="preserve">Profit for the period (reported)</t>
  </si>
  <si>
    <t xml:space="preserve">Profit attributable to owners of the parent</t>
  </si>
  <si>
    <t xml:space="preserve">Profit attributable to non-controlling interests</t>
  </si>
  <si>
    <t xml:space="preserve">Basic EPS (NT$)</t>
  </si>
  <si>
    <t xml:space="preserve">Diluted EPS (NT$)</t>
  </si>
  <si>
    <t xml:space="preserve">Balance sheet (period end)</t>
  </si>
  <si>
    <t xml:space="preserve">Cash and cash equivalents</t>
  </si>
  <si>
    <t xml:space="preserve">Financial assets at FVTPL - current</t>
  </si>
  <si>
    <t xml:space="preserve">Financial assets at FVOCI - current</t>
  </si>
  <si>
    <t xml:space="preserve">Financial assets at amortised cost - current</t>
  </si>
  <si>
    <t xml:space="preserve">Contract assets - current</t>
  </si>
  <si>
    <t xml:space="preserve">Notes receivable, net</t>
  </si>
  <si>
    <t xml:space="preserve">Accounts receivable, net</t>
  </si>
  <si>
    <t xml:space="preserve">Accounts receivable - related parties</t>
  </si>
  <si>
    <t xml:space="preserve">Inventories</t>
  </si>
  <si>
    <t xml:space="preserve">Total current assets (reported)</t>
  </si>
  <si>
    <t xml:space="preserve">Financial assets at FVTPL - non-current</t>
  </si>
  <si>
    <t xml:space="preserve">Financial assets at FVOCI - non-current</t>
  </si>
  <si>
    <t xml:space="preserve">Financial assets at amortised cost - non-current</t>
  </si>
  <si>
    <t xml:space="preserve">Investments accounted for under the equity method</t>
  </si>
  <si>
    <t xml:space="preserve">Property, plant and equipment</t>
  </si>
  <si>
    <t xml:space="preserve">Right-of-use assets</t>
  </si>
  <si>
    <t xml:space="preserve">Investment property, net</t>
  </si>
  <si>
    <t xml:space="preserve">Intangible assets (incl. goodwill)</t>
  </si>
  <si>
    <t xml:space="preserve">Total non-current assets (reported)</t>
  </si>
  <si>
    <t xml:space="preserve">Total assets (reported)</t>
  </si>
  <si>
    <t xml:space="preserve">Short-term borrowings</t>
  </si>
  <si>
    <t xml:space="preserve">Notes payable</t>
  </si>
  <si>
    <t xml:space="preserve">Accounts payable</t>
  </si>
  <si>
    <t xml:space="preserve">Accounts payable - related parties</t>
  </si>
  <si>
    <t xml:space="preserve">Long-term liabilities, current portion</t>
  </si>
  <si>
    <t xml:space="preserve">Lease liabilities - current (if shown separately)</t>
  </si>
  <si>
    <t xml:space="preserve">Total current liabilities (reported)</t>
  </si>
  <si>
    <t xml:space="preserve">Bonds payable</t>
  </si>
  <si>
    <t xml:space="preserve">Long-term borrowings</t>
  </si>
  <si>
    <t xml:space="preserve">Lease liabilities - non-current</t>
  </si>
  <si>
    <t xml:space="preserve">Total non-current liabilities (reported)</t>
  </si>
  <si>
    <t xml:space="preserve">Total liabilities (reported)</t>
  </si>
  <si>
    <t xml:space="preserve">Share capital - common stock</t>
  </si>
  <si>
    <t xml:space="preserve">Equity attributable to owners of the parent</t>
  </si>
  <si>
    <t xml:space="preserve">Non-controlling interest</t>
  </si>
  <si>
    <t xml:space="preserve">Total equity (reported)</t>
  </si>
  <si>
    <t xml:space="preserve">Total liabilities and equity (reported)</t>
  </si>
  <si>
    <t xml:space="preserve">Cash flow statement</t>
  </si>
  <si>
    <t xml:space="preserve">Profit before tax (cash flow statement)</t>
  </si>
  <si>
    <t xml:space="preserve">Depreciation</t>
  </si>
  <si>
    <t xml:space="preserve">Amortisation</t>
  </si>
  <si>
    <t xml:space="preserve">Change in accounts receivable</t>
  </si>
  <si>
    <t xml:space="preserve">Change in inventories</t>
  </si>
  <si>
    <t xml:space="preserve">Change in accounts payable</t>
  </si>
  <si>
    <t xml:space="preserve">Interest paid</t>
  </si>
  <si>
    <t xml:space="preserve">Income taxes paid</t>
  </si>
  <si>
    <t xml:space="preserve">Net cash flows from operating activities (reported)</t>
  </si>
  <si>
    <t xml:space="preserve">Acquisition of property, plant and equipment</t>
  </si>
  <si>
    <t xml:space="preserve">Proceeds from disposal of PP&amp;E</t>
  </si>
  <si>
    <t xml:space="preserve">Acquisition of intangible assets</t>
  </si>
  <si>
    <t xml:space="preserve">Acquisition of subsidiaries, net of cash acquired</t>
  </si>
  <si>
    <t xml:space="preserve">Net cash flows from investing activities (reported)</t>
  </si>
  <si>
    <t xml:space="preserve">Increase (decrease) in short-term borrowings</t>
  </si>
  <si>
    <t xml:space="preserve">Issuance of bonds payable</t>
  </si>
  <si>
    <t xml:space="preserve">Repayment of bonds payable</t>
  </si>
  <si>
    <t xml:space="preserve">Proceeds from long-term borrowings</t>
  </si>
  <si>
    <t xml:space="preserve">Repayment of long-term borrowings</t>
  </si>
  <si>
    <t xml:space="preserve">Lease principal repayment</t>
  </si>
  <si>
    <t xml:space="preserve">Cash dividends paid (owners of the parent)</t>
  </si>
  <si>
    <t xml:space="preserve">Cash dividends paid to non-controlling interests</t>
  </si>
  <si>
    <t xml:space="preserve">Net cash flows from financing activities (reported)</t>
  </si>
  <si>
    <t xml:space="preserve">Effect of exchange rate changes on cash</t>
  </si>
  <si>
    <t xml:space="preserve">Net increase (decrease) in cash (reported)</t>
  </si>
  <si>
    <t xml:space="preserve">Cash at beginning of period (reported)</t>
  </si>
  <si>
    <t xml:space="preserve">Cash at end of period (reported)</t>
  </si>
  <si>
    <t xml:space="preserve">Other inputs</t>
  </si>
  <si>
    <t xml:space="preserve">Par value per share (NT$)</t>
  </si>
  <si>
    <t xml:space="preserve">Taiwan standard par; 2,598m shares per ic_4Q25 p.10</t>
  </si>
  <si>
    <t xml:space="preserve">Python extraction tie-outs: total</t>
  </si>
  <si>
    <t xml:space="preserve">data/processed/checks.csv</t>
  </si>
  <si>
    <t xml:space="preserve">Python extraction tie-outs: passed</t>
  </si>
  <si>
    <t xml:space="preserve">Segment revenue and profit</t>
  </si>
  <si>
    <t xml:space="preserve">NT$ million. Source: operating segment note, latest restated basis. FY2021-22 are on Delta's old 3-segment basis (Mobility inside Power Electronics), so FY2023 growth is not shown for Power Electronics or Mobility. Infrastructure and Automation were restated by &lt;0.3% and are shown.</t>
  </si>
  <si>
    <t xml:space="preserve">Revenue from external customers</t>
  </si>
  <si>
    <t xml:space="preserve">segment note</t>
  </si>
  <si>
    <t xml:space="preserve">in PE before FY2023</t>
  </si>
  <si>
    <t xml:space="preserve">Others / unallocated</t>
  </si>
  <si>
    <t xml:space="preserve">group revenue - segments ('Others')</t>
  </si>
  <si>
    <t xml:space="preserve">Group revenue</t>
  </si>
  <si>
    <t xml:space="preserve">Segment operating profit</t>
  </si>
  <si>
    <t xml:space="preserve">Total segment profit</t>
  </si>
  <si>
    <t xml:space="preserve">equals EBIT (tested on Checks)</t>
  </si>
  <si>
    <t xml:space="preserve">Revenue growth (y/y)</t>
  </si>
  <si>
    <t xml:space="preserve">Revenue mix (% of group)</t>
  </si>
  <si>
    <t xml:space="preserve">Segment margin (profit / revenue)</t>
  </si>
  <si>
    <t xml:space="preserve">Group EBIT margin</t>
  </si>
  <si>
    <t xml:space="preserve">AI data-centre anchors (management disclosures, decision D1) - the AI line is built from these in M3</t>
  </si>
  <si>
    <t xml:space="preserve">Anchor</t>
  </si>
  <si>
    <t xml:space="preserve">Source</t>
  </si>
  <si>
    <t xml:space="preserve">Period</t>
  </si>
  <si>
    <t xml:space="preserve">Share of revenue</t>
  </si>
  <si>
    <t xml:space="preserve">Qualifier</t>
  </si>
  <si>
    <t xml:space="preserve">Implied NT$ m</t>
  </si>
  <si>
    <t xml:space="preserve">Liquid-cooling products</t>
  </si>
  <si>
    <t xml:space="preserve">2Q26 transcript p.12</t>
  </si>
  <si>
    <t xml:space="preserve">FY2025</t>
  </si>
  <si>
    <t xml:space="preserve">approx.</t>
  </si>
  <si>
    <t xml:space="preserve">FY2026E</t>
  </si>
  <si>
    <t xml:space="preserve">more than</t>
  </si>
  <si>
    <t xml:space="preserve">M3 forecast</t>
  </si>
  <si>
    <t xml:space="preserve">AI-related products</t>
  </si>
  <si>
    <t xml:space="preserve">Data-centre-related business</t>
  </si>
  <si>
    <t xml:space="preserve">2Q26 transcript p.2</t>
  </si>
  <si>
    <t xml:space="preserve">1H26</t>
  </si>
  <si>
    <t xml:space="preserve">Not used: press-reported split (AI power &gt;20%, AI cooling ~9% of FY2025 revenue) - not in Delta's own documents; TODO-SOURCE in sources.csv.</t>
  </si>
  <si>
    <t xml:space="preserve">NT$ million unless stated. Lines link to Historicals; subtotals are recomputed (not copied) and tested against reported figures on the Checks sheet.</t>
  </si>
  <si>
    <t xml:space="preserve">Cost of revenue</t>
  </si>
  <si>
    <t xml:space="preserve">Gross profit</t>
  </si>
  <si>
    <t xml:space="preserve">General and administrative</t>
  </si>
  <si>
    <t xml:space="preserve">Research and development</t>
  </si>
  <si>
    <t xml:space="preserve">Expected credit loss</t>
  </si>
  <si>
    <t xml:space="preserve">Total operating expenses</t>
  </si>
  <si>
    <t xml:space="preserve">Operating profit (EBIT)</t>
  </si>
  <si>
    <t xml:space="preserve">Other non-operating items</t>
  </si>
  <si>
    <t xml:space="preserve">other income, gains/losses, associates</t>
  </si>
  <si>
    <t xml:space="preserve">Total non-operating income</t>
  </si>
  <si>
    <t xml:space="preserve">Profit before tax</t>
  </si>
  <si>
    <t xml:space="preserve">Income tax</t>
  </si>
  <si>
    <t xml:space="preserve">Net income</t>
  </si>
  <si>
    <t xml:space="preserve">Less: non-controlling interests</t>
  </si>
  <si>
    <t xml:space="preserve">Net income to owners of the parent</t>
  </si>
  <si>
    <t xml:space="preserve">Shares outstanding, period end (m)</t>
  </si>
  <si>
    <t xml:space="preserve">share capital / NT$10 par</t>
  </si>
  <si>
    <t xml:space="preserve">computed; reported EPS on Historicals</t>
  </si>
  <si>
    <t xml:space="preserve">Memo</t>
  </si>
  <si>
    <t xml:space="preserve">Depreciation and amortisation</t>
  </si>
  <si>
    <t xml:space="preserve">from cash flow statement</t>
  </si>
  <si>
    <t xml:space="preserve">EBITDA (EBIT + D&amp;A)</t>
  </si>
  <si>
    <t xml:space="preserve">operating definition (decision D3)</t>
  </si>
  <si>
    <t xml:space="preserve">Ratios</t>
  </si>
  <si>
    <t xml:space="preserve">1H26 vs 1H25</t>
  </si>
  <si>
    <t xml:space="preserve">R&amp;D % of revenue</t>
  </si>
  <si>
    <t xml:space="preserve">SG&amp;A % of revenue</t>
  </si>
  <si>
    <t xml:space="preserve">EBITDA margin</t>
  </si>
  <si>
    <t xml:space="preserve">Net margin (to parent)</t>
  </si>
  <si>
    <t xml:space="preserve">EPS growth (y/y)</t>
  </si>
  <si>
    <t xml:space="preserve">Balance sheet</t>
  </si>
  <si>
    <t xml:space="preserve">NT$ million, period end. 'Other' lines are the reported subtotal less the lines shown, so each section ties to the reported figure; the Checks sheet tests that total assets equal total liabilities plus equity.</t>
  </si>
  <si>
    <t xml:space="preserve">Assets</t>
  </si>
  <si>
    <t xml:space="preserve">Short-term investments</t>
  </si>
  <si>
    <t xml:space="preserve">FVTPL + FVOCI + amortised cost</t>
  </si>
  <si>
    <t xml:space="preserve">Receivables</t>
  </si>
  <si>
    <t xml:space="preserve">notes + trade + related parties</t>
  </si>
  <si>
    <t xml:space="preserve">Other current assets</t>
  </si>
  <si>
    <t xml:space="preserve">incl. contract assets, prepayments, tax</t>
  </si>
  <si>
    <t xml:space="preserve">Total current assets</t>
  </si>
  <si>
    <t xml:space="preserve">Long-term investments</t>
  </si>
  <si>
    <t xml:space="preserve">Other non-current assets</t>
  </si>
  <si>
    <t xml:space="preserve">incl. deferred tax, investment property</t>
  </si>
  <si>
    <t xml:space="preserve">Total non-current assets</t>
  </si>
  <si>
    <t xml:space="preserve">Total assets</t>
  </si>
  <si>
    <t xml:space="preserve">Liabilities and equity</t>
  </si>
  <si>
    <t xml:space="preserve">Short-term debt</t>
  </si>
  <si>
    <t xml:space="preserve">ST borrowings + current portion of LT debt</t>
  </si>
  <si>
    <t xml:space="preserve">Payables</t>
  </si>
  <si>
    <t xml:space="preserve">Other current liabilities</t>
  </si>
  <si>
    <t xml:space="preserve">incl. other payables, tax, contract liab., leases</t>
  </si>
  <si>
    <t xml:space="preserve">Total current liabilities</t>
  </si>
  <si>
    <t xml:space="preserve">Long-term debt</t>
  </si>
  <si>
    <t xml:space="preserve">bonds + LT borrowings</t>
  </si>
  <si>
    <t xml:space="preserve">Lease liabilities (non-current)</t>
  </si>
  <si>
    <t xml:space="preserve">Other non-current liabilities</t>
  </si>
  <si>
    <t xml:space="preserve">incl. deferred tax liabilities</t>
  </si>
  <si>
    <t xml:space="preserve">Total non-current liabilities</t>
  </si>
  <si>
    <t xml:space="preserve">Total liabilities</t>
  </si>
  <si>
    <t xml:space="preserve">Total equity</t>
  </si>
  <si>
    <t xml:space="preserve">Total liabilities and equity</t>
  </si>
  <si>
    <t xml:space="preserve">Balance check: assets - (liabilities + equity)</t>
  </si>
  <si>
    <t xml:space="preserve">must be zero</t>
  </si>
  <si>
    <t xml:space="preserve">Total debt</t>
  </si>
  <si>
    <t xml:space="preserve">debt - cash - ST investments; excl. leases</t>
  </si>
  <si>
    <t xml:space="preserve">Trade working capital</t>
  </si>
  <si>
    <t xml:space="preserve">receivables + inventories - payables</t>
  </si>
  <si>
    <t xml:space="preserve">NT$ million. Indirect method as reported (Taiwan IFRS: interest and tax paid sit in operating cash flow). 'Other' lines tie each section to the reported total; closing cash is tested against the balance sheet on the Checks sheet.</t>
  </si>
  <si>
    <t xml:space="preserve">Operating activities</t>
  </si>
  <si>
    <t xml:space="preserve">(Increase) decrease in accounts receivable</t>
  </si>
  <si>
    <t xml:space="preserve">(Increase) decrease in inventories</t>
  </si>
  <si>
    <t xml:space="preserve">Increase (decrease) in accounts payable</t>
  </si>
  <si>
    <t xml:space="preserve">Other operating items</t>
  </si>
  <si>
    <t xml:space="preserve">non-cash items, other WC, interest received</t>
  </si>
  <si>
    <t xml:space="preserve">Cash flow from operations</t>
  </si>
  <si>
    <t xml:space="preserve">Investing activities</t>
  </si>
  <si>
    <t xml:space="preserve">Purchase of PP&amp;E</t>
  </si>
  <si>
    <t xml:space="preserve">Disposal of PP&amp;E</t>
  </si>
  <si>
    <t xml:space="preserve">Purchase of intangible assets</t>
  </si>
  <si>
    <t xml:space="preserve">Acquisitions, net of cash acquired</t>
  </si>
  <si>
    <t xml:space="preserve">Other investing items</t>
  </si>
  <si>
    <t xml:space="preserve">financial assets, prepayments, other</t>
  </si>
  <si>
    <t xml:space="preserve">Cash flow from investing</t>
  </si>
  <si>
    <t xml:space="preserve">Financing activities</t>
  </si>
  <si>
    <t xml:space="preserve">Net borrowing / (repayment)</t>
  </si>
  <si>
    <t xml:space="preserve">ST + bonds + LT borrowings, net</t>
  </si>
  <si>
    <t xml:space="preserve">Lease principal repaid</t>
  </si>
  <si>
    <t xml:space="preserve">Dividends paid to shareholders</t>
  </si>
  <si>
    <t xml:space="preserve">paid in Q3; nil in 1H</t>
  </si>
  <si>
    <t xml:space="preserve">Dividends paid to non-controlling interests</t>
  </si>
  <si>
    <t xml:space="preserve">Other financing items</t>
  </si>
  <si>
    <t xml:space="preserve">deposits, NCI transactions</t>
  </si>
  <si>
    <t xml:space="preserve">Cash flow from financing</t>
  </si>
  <si>
    <t xml:space="preserve">Effect of exchange rates</t>
  </si>
  <si>
    <t xml:space="preserve">Net change in cash</t>
  </si>
  <si>
    <t xml:space="preserve">Cash at beginning of period</t>
  </si>
  <si>
    <t xml:space="preserve">prior balance sheet; FY2021 from CF</t>
  </si>
  <si>
    <t xml:space="preserve">Cash at end of period</t>
  </si>
  <si>
    <t xml:space="preserve">Capex (PP&amp;E + intangibles)</t>
  </si>
  <si>
    <t xml:space="preserve">decision D4</t>
  </si>
  <si>
    <t xml:space="preserve">Free cash flow (CFO + capex)</t>
  </si>
  <si>
    <t xml:space="preserve">FCF margin</t>
  </si>
  <si>
    <t xml:space="preserve">Cash conversion (CFO / net income)</t>
  </si>
  <si>
    <t xml:space="preserve">Supporting schedules (historical)</t>
  </si>
  <si>
    <t xml:space="preserve">NT$ million unless stated. Fiscal years only; ratios use year-end balances. These historical ratios anchor the forecast drivers set on the Assumptions sheet in M3.</t>
  </si>
  <si>
    <t xml:space="preserve">Days in year</t>
  </si>
  <si>
    <t xml:space="preserve">Working capital</t>
  </si>
  <si>
    <t xml:space="preserve">Cost of revenue (positive)</t>
  </si>
  <si>
    <t xml:space="preserve">Receivable days (DSO)</t>
  </si>
  <si>
    <t xml:space="preserve">Inventory days (DIO)</t>
  </si>
  <si>
    <t xml:space="preserve">Payable days (DPO)</t>
  </si>
  <si>
    <t xml:space="preserve">Cash conversion cycle (days)</t>
  </si>
  <si>
    <t xml:space="preserve">Other current assets % revenue</t>
  </si>
  <si>
    <t xml:space="preserve">Other current liabilities % revenue</t>
  </si>
  <si>
    <t xml:space="preserve">PP&amp;E roll-forward</t>
  </si>
  <si>
    <t xml:space="preserve">Opening PP&amp;E</t>
  </si>
  <si>
    <t xml:space="preserve">Add: purchases of PP&amp;E</t>
  </si>
  <si>
    <t xml:space="preserve">Less: depreciation</t>
  </si>
  <si>
    <t xml:space="preserve">all depreciation incl. right-of-use</t>
  </si>
  <si>
    <t xml:space="preserve">Other movements (plug)</t>
  </si>
  <si>
    <t xml:space="preserve">disposals, FX, M&amp;A, add-back of ROU depreciation</t>
  </si>
  <si>
    <t xml:space="preserve">Closing PP&amp;E</t>
  </si>
  <si>
    <t xml:space="preserve">PP&amp;E capex % revenue</t>
  </si>
  <si>
    <t xml:space="preserve">Total capex (PP&amp;E + intangibles) % revenue</t>
  </si>
  <si>
    <t xml:space="preserve">Capex / D&amp;A</t>
  </si>
  <si>
    <t xml:space="preserve">Intangibles</t>
  </si>
  <si>
    <t xml:space="preserve">Purchases of intangibles</t>
  </si>
  <si>
    <t xml:space="preserve">Debt and interest</t>
  </si>
  <si>
    <t xml:space="preserve">Average debt</t>
  </si>
  <si>
    <t xml:space="preserve">incl. lease interest</t>
  </si>
  <si>
    <t xml:space="preserve">Implied cost of debt</t>
  </si>
  <si>
    <t xml:space="preserve">Average cash</t>
  </si>
  <si>
    <t xml:space="preserve">Yield on average cash</t>
  </si>
  <si>
    <t xml:space="preserve">Tax</t>
  </si>
  <si>
    <t xml:space="preserve">Cash taxes paid % PBT</t>
  </si>
  <si>
    <t xml:space="preserve">Shares, dividends and minorities</t>
  </si>
  <si>
    <t xml:space="preserve">Shares outstanding (m)</t>
  </si>
  <si>
    <t xml:space="preserve">Dividends paid in year</t>
  </si>
  <si>
    <t xml:space="preserve">Dividend per share paid in year (NT$)</t>
  </si>
  <si>
    <t xml:space="preserve">Payout of prior-year net income</t>
  </si>
  <si>
    <t xml:space="preserve">Taiwan: dividend paid in year after earned</t>
  </si>
  <si>
    <t xml:space="preserve">Non-controlling interests % net income</t>
  </si>
  <si>
    <t xml:space="preserve">Returns</t>
  </si>
  <si>
    <t xml:space="preserve">Return on average equity (parent)</t>
  </si>
  <si>
    <t xml:space="preserve">Revenue / average total assets</t>
  </si>
  <si>
    <t xml:space="preserve">Model integrity checks</t>
  </si>
  <si>
    <t xml:space="preserve">Every check must be TRUE. Tolerance in NT$ million (B3) and NT$ per share (B4). The overall result rolls up to the Cover sheet.</t>
  </si>
  <si>
    <t xml:space="preserve">Tolerance (NT$ m)</t>
  </si>
  <si>
    <t xml:space="preserve">EPS tolerance (NT$)</t>
  </si>
  <si>
    <t xml:space="preserve">All periods</t>
  </si>
  <si>
    <t xml:space="preserve">Assets = liabilities + equity</t>
  </si>
  <si>
    <t xml:space="preserve">Total assets = reported</t>
  </si>
  <si>
    <t xml:space="preserve">Total liabilities = reported</t>
  </si>
  <si>
    <t xml:space="preserve">Total equity = reported</t>
  </si>
  <si>
    <t xml:space="preserve">Gross profit = reported</t>
  </si>
  <si>
    <t xml:space="preserve">Operating expenses = reported</t>
  </si>
  <si>
    <t xml:space="preserve">EBIT = reported</t>
  </si>
  <si>
    <t xml:space="preserve">Non-operating total = reported</t>
  </si>
  <si>
    <t xml:space="preserve">Profit before tax = reported</t>
  </si>
  <si>
    <t xml:space="preserve">Net income = reported</t>
  </si>
  <si>
    <t xml:space="preserve">Net income to parent = reported</t>
  </si>
  <si>
    <t xml:space="preserve">EPS (computed) = reported basic EPS</t>
  </si>
  <si>
    <t xml:space="preserve">period-end shares vs weighted average</t>
  </si>
  <si>
    <t xml:space="preserve">Cash flow</t>
  </si>
  <si>
    <t xml:space="preserve">PBT in cash flow = PBT in income statement</t>
  </si>
  <si>
    <t xml:space="preserve">Net change in cash = reported</t>
  </si>
  <si>
    <t xml:space="preserve">Closing cash (CF) = cash on balance sheet</t>
  </si>
  <si>
    <t xml:space="preserve">Segment profit total = EBIT</t>
  </si>
  <si>
    <t xml:space="preserve">Unallocated revenue &lt; 0.5% of group revenue</t>
  </si>
  <si>
    <t xml:space="preserve">Source extraction (Python)</t>
  </si>
  <si>
    <t xml:space="preserve">All tie-outs in data/processed/checks.csv pass</t>
  </si>
  <si>
    <t xml:space="preserve">subtotals, restatements, monthly vs quarterly</t>
  </si>
  <si>
    <t xml:space="preserve">ALL CHECKS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</si>
</sst>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.0;\(#,##0.0\);\-"/>
    <numFmt numFmtId="167" formatCode="0.0%;\(0.0%\);\-"/>
    <numFmt numFmtId="168" formatCode="0.00;\(0.00\);\-"/>
    <numFmt numFmtId="169" formatCode="0.0;\(0.0\);\-"/>
    <numFmt numFmtId="170" formatCode="0"/>
    <numFmt numFmtId="171" formatCode="0.00\x;\(0.00&quot;x)&quot;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2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4"/>
    <col collapsed="false" customWidth="true" hidden="false" outlineLevel="0" max="7" min="4" style="1" width="12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6" customFormat="false" ht="15" hidden="false" customHeight="false" outlineLevel="0" collapsed="false">
      <c r="B6" s="5" t="s">
        <v>3</v>
      </c>
      <c r="C6" s="6" t="s">
        <v>4</v>
      </c>
    </row>
    <row r="7" customFormat="false" ht="15" hidden="false" customHeight="false" outlineLevel="0" collapsed="false">
      <c r="B7" s="5" t="s">
        <v>5</v>
      </c>
      <c r="C7" s="6" t="s">
        <v>6</v>
      </c>
    </row>
    <row r="8" customFormat="false" ht="15" hidden="false" customHeight="false" outlineLevel="0" collapsed="false">
      <c r="B8" s="5" t="s">
        <v>7</v>
      </c>
      <c r="C8" s="6" t="s">
        <v>8</v>
      </c>
    </row>
    <row r="9" customFormat="false" ht="15" hidden="false" customHeight="false" outlineLevel="0" collapsed="false">
      <c r="B9" s="5" t="s">
        <v>9</v>
      </c>
      <c r="C9" s="6" t="s">
        <v>10</v>
      </c>
    </row>
    <row r="10" customFormat="false" ht="15" hidden="false" customHeight="false" outlineLevel="0" collapsed="false">
      <c r="B10" s="5" t="s">
        <v>11</v>
      </c>
      <c r="C10" s="6" t="s">
        <v>12</v>
      </c>
    </row>
    <row r="11" customFormat="false" ht="15" hidden="false" customHeight="false" outlineLevel="0" collapsed="false">
      <c r="B11" s="5" t="s">
        <v>13</v>
      </c>
      <c r="C11" s="6" t="s">
        <v>14</v>
      </c>
    </row>
    <row r="12" customFormat="false" ht="15" hidden="false" customHeight="false" outlineLevel="0" collapsed="false">
      <c r="B12" s="5" t="s">
        <v>15</v>
      </c>
      <c r="C12" s="6" t="s">
        <v>16</v>
      </c>
    </row>
    <row r="13" customFormat="false" ht="15" hidden="false" customHeight="false" outlineLevel="0" collapsed="false">
      <c r="B13" s="5" t="s">
        <v>17</v>
      </c>
      <c r="C13" s="6" t="s">
        <v>18</v>
      </c>
    </row>
    <row r="14" customFormat="false" ht="15" hidden="false" customHeight="false" outlineLevel="0" collapsed="false">
      <c r="B14" s="5" t="s">
        <v>19</v>
      </c>
      <c r="C14" s="7" t="str">
        <f aca="false">Assumptions!B3</f>
        <v>Base</v>
      </c>
    </row>
    <row r="15" customFormat="false" ht="15" hidden="false" customHeight="false" outlineLevel="0" collapsed="false">
      <c r="B15" s="5" t="s">
        <v>20</v>
      </c>
      <c r="C15" s="6" t="s">
        <v>21</v>
      </c>
    </row>
    <row r="16" customFormat="false" ht="15" hidden="false" customHeight="false" outlineLevel="0" collapsed="false">
      <c r="B16" s="5" t="s">
        <v>22</v>
      </c>
      <c r="C16" s="6" t="s">
        <v>23</v>
      </c>
    </row>
    <row r="18" customFormat="false" ht="15" hidden="false" customHeight="false" outlineLevel="0" collapsed="false">
      <c r="B18" s="8" t="s">
        <v>24</v>
      </c>
      <c r="C18" s="9" t="b">
        <f aca="false">Checks!L36</f>
        <v>1</v>
      </c>
    </row>
    <row r="20" customFormat="false" ht="15" hidden="false" customHeight="false" outlineLevel="0" collapsed="false">
      <c r="B20" s="10" t="s">
        <v>25</v>
      </c>
    </row>
    <row r="21" customFormat="false" ht="15" hidden="false" customHeight="false" outlineLevel="0" collapsed="false">
      <c r="B21" s="11"/>
      <c r="C21" s="11"/>
      <c r="D21" s="12" t="s">
        <v>26</v>
      </c>
      <c r="E21" s="12" t="s">
        <v>27</v>
      </c>
      <c r="F21" s="12" t="s">
        <v>28</v>
      </c>
      <c r="G21" s="12" t="s">
        <v>29</v>
      </c>
    </row>
    <row r="22" customFormat="false" ht="15" hidden="false" customHeight="false" outlineLevel="0" collapsed="false">
      <c r="B22" s="6" t="s">
        <v>30</v>
      </c>
      <c r="D22" s="13" t="n">
        <f aca="false">IS!E9</f>
        <v>401226.501</v>
      </c>
      <c r="E22" s="13" t="n">
        <f aca="false">IS!F9</f>
        <v>421147.557</v>
      </c>
      <c r="F22" s="13" t="n">
        <f aca="false">IS!G9</f>
        <v>554885.168</v>
      </c>
      <c r="G22" s="13" t="n">
        <f aca="false">IS!J9</f>
        <v>342608.732</v>
      </c>
    </row>
    <row r="23" customFormat="false" ht="15" hidden="false" customHeight="false" outlineLevel="0" collapsed="false">
      <c r="B23" s="6" t="s">
        <v>31</v>
      </c>
      <c r="D23" s="14" t="n">
        <f aca="false">IS!E40</f>
        <v>0.102061645723646</v>
      </c>
      <c r="E23" s="14" t="n">
        <f aca="false">IS!F40</f>
        <v>0.113147440150057</v>
      </c>
      <c r="F23" s="14" t="n">
        <f aca="false">IS!G40</f>
        <v>0.151260258591017</v>
      </c>
      <c r="G23" s="14" t="n">
        <f aca="false">IS!J40</f>
        <v>0.172171166378795</v>
      </c>
    </row>
    <row r="24" customFormat="false" ht="15" hidden="false" customHeight="false" outlineLevel="0" collapsed="false">
      <c r="B24" s="6" t="s">
        <v>32</v>
      </c>
      <c r="D24" s="15" t="n">
        <f aca="false">IS!E29</f>
        <v>12.8554796372403</v>
      </c>
      <c r="E24" s="15" t="n">
        <f aca="false">IS!F29</f>
        <v>13.56226747019</v>
      </c>
      <c r="F24" s="15" t="n">
        <f aca="false">IS!G29</f>
        <v>23.1404800836236</v>
      </c>
      <c r="G24" s="15" t="n">
        <f aca="false">IS!J29</f>
        <v>17.5901710666382</v>
      </c>
    </row>
    <row r="25" customFormat="false" ht="15" hidden="false" customHeight="false" outlineLevel="0" collapsed="false">
      <c r="B25" s="6" t="s">
        <v>33</v>
      </c>
      <c r="D25" s="13" t="n">
        <f aca="false">CF!E42</f>
        <v>42786.756</v>
      </c>
      <c r="E25" s="13" t="n">
        <f aca="false">CF!F42</f>
        <v>37820.576</v>
      </c>
      <c r="F25" s="13" t="n">
        <f aca="false">CF!G42</f>
        <v>51321.494</v>
      </c>
      <c r="G25" s="13" t="n">
        <f aca="false">CF!J42</f>
        <v>35283.84</v>
      </c>
    </row>
    <row r="26" customFormat="false" ht="15" hidden="false" customHeight="false" outlineLevel="0" collapsed="false">
      <c r="B26" s="6" t="s">
        <v>34</v>
      </c>
      <c r="D26" s="13" t="n">
        <f aca="false">BS!E41</f>
        <v>-35324.569</v>
      </c>
      <c r="E26" s="13" t="n">
        <f aca="false">BS!F41</f>
        <v>-57362.673</v>
      </c>
      <c r="F26" s="13" t="n">
        <f aca="false">BS!G41</f>
        <v>-81084.588</v>
      </c>
      <c r="G26" s="13" t="n">
        <f aca="false">BS!J41</f>
        <v>-115960.819</v>
      </c>
    </row>
    <row r="28" customFormat="false" ht="15" hidden="false" customHeight="false" outlineLevel="0" collapsed="false">
      <c r="B28" s="10" t="s">
        <v>35</v>
      </c>
    </row>
    <row r="29" customFormat="false" ht="15" hidden="false" customHeight="false" outlineLevel="0" collapsed="false">
      <c r="B29" s="5" t="s">
        <v>36</v>
      </c>
      <c r="C29" s="6" t="s">
        <v>37</v>
      </c>
    </row>
    <row r="30" customFormat="false" ht="15" hidden="false" customHeight="false" outlineLevel="0" collapsed="false">
      <c r="B30" s="5" t="s">
        <v>38</v>
      </c>
      <c r="C30" s="6" t="s">
        <v>39</v>
      </c>
    </row>
    <row r="31" customFormat="false" ht="15" hidden="false" customHeight="false" outlineLevel="0" collapsed="false">
      <c r="B31" s="5" t="s">
        <v>40</v>
      </c>
      <c r="C31" s="6" t="s">
        <v>41</v>
      </c>
    </row>
    <row r="32" customFormat="false" ht="15" hidden="false" customHeight="false" outlineLevel="0" collapsed="false">
      <c r="B32" s="5" t="s">
        <v>42</v>
      </c>
      <c r="C32" s="6" t="s">
        <v>43</v>
      </c>
    </row>
    <row r="33" customFormat="false" ht="15" hidden="false" customHeight="false" outlineLevel="0" collapsed="false">
      <c r="B33" s="5" t="s">
        <v>44</v>
      </c>
      <c r="C33" s="6" t="s">
        <v>45</v>
      </c>
    </row>
    <row r="34" customFormat="false" ht="15" hidden="false" customHeight="false" outlineLevel="0" collapsed="false">
      <c r="B34" s="5" t="s">
        <v>46</v>
      </c>
      <c r="C34" s="6" t="s">
        <v>47</v>
      </c>
    </row>
    <row r="36" customFormat="false" ht="15" hidden="false" customHeight="false" outlineLevel="0" collapsed="false">
      <c r="B36" s="10" t="s">
        <v>48</v>
      </c>
    </row>
    <row r="37" customFormat="false" ht="15" hidden="false" customHeight="false" outlineLevel="0" collapsed="false">
      <c r="B37" s="16" t="s">
        <v>49</v>
      </c>
    </row>
    <row r="38" customFormat="false" ht="15" hidden="false" customHeight="false" outlineLevel="0" collapsed="false">
      <c r="B38" s="6" t="s">
        <v>50</v>
      </c>
    </row>
    <row r="39" customFormat="false" ht="15" hidden="false" customHeight="false" outlineLevel="0" collapsed="false">
      <c r="B39" s="7" t="s">
        <v>51</v>
      </c>
    </row>
    <row r="40" customFormat="false" ht="15" hidden="false" customHeight="false" outlineLevel="0" collapsed="false">
      <c r="B40" s="17" t="s">
        <v>52</v>
      </c>
    </row>
  </sheetData>
  <conditionalFormatting sqref="C18">
    <cfRule type="expression" priority="2" aboveAverage="0" equalAverage="0" bottom="0" percent="0" rank="0" text="" dxfId="0">
      <formula>AND(ISLOGICAL(C18),C18)</formula>
    </cfRule>
    <cfRule type="expression" priority="3" aboveAverage="0" equalAverage="0" bottom="0" percent="0" rank="0" text="" dxfId="1">
      <formula>AND(ISLOGICAL(C18),NOT(C18))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7" min="3" style="1" width="12"/>
    <col collapsed="false" customWidth="true" hidden="false" outlineLevel="0" max="8" min="8" style="1" width="3"/>
    <col collapsed="false" customWidth="true" hidden="false" outlineLevel="0" max="10" min="9" style="1" width="12"/>
    <col collapsed="false" customWidth="true" hidden="false" outlineLevel="0" max="12" min="12" style="1" width="12"/>
  </cols>
  <sheetData>
    <row r="1" customFormat="false" ht="17.35" hidden="false" customHeight="false" outlineLevel="0" collapsed="false">
      <c r="A1" s="18" t="s">
        <v>36</v>
      </c>
    </row>
    <row r="2" customFormat="false" ht="15" hidden="false" customHeight="false" outlineLevel="0" collapsed="false">
      <c r="A2" s="19" t="s">
        <v>53</v>
      </c>
    </row>
    <row r="3" customFormat="false" ht="15" hidden="false" customHeight="false" outlineLevel="0" collapsed="false">
      <c r="A3" s="6" t="s">
        <v>54</v>
      </c>
      <c r="B3" s="20" t="s">
        <v>55</v>
      </c>
    </row>
    <row r="4" customFormat="false" ht="15" hidden="false" customHeight="false" outlineLevel="0" collapsed="false">
      <c r="A4" s="6" t="s">
        <v>56</v>
      </c>
      <c r="B4" s="6" t="n">
        <f aca="false">MATCH(B3,{"Bear","Base","Bull"},0)</f>
        <v>2</v>
      </c>
    </row>
    <row r="5" customFormat="false" ht="15" hidden="false" customHeight="false" outlineLevel="0" collapsed="false">
      <c r="A5" s="21" t="s">
        <v>57</v>
      </c>
      <c r="B5" s="21" t="s">
        <v>58</v>
      </c>
      <c r="C5" s="12" t="s">
        <v>59</v>
      </c>
      <c r="D5" s="12" t="s">
        <v>60</v>
      </c>
      <c r="E5" s="12" t="s">
        <v>26</v>
      </c>
      <c r="F5" s="12" t="s">
        <v>27</v>
      </c>
      <c r="G5" s="12" t="s">
        <v>28</v>
      </c>
      <c r="L5" s="21" t="s">
        <v>61</v>
      </c>
    </row>
    <row r="6" customFormat="false" ht="15" hidden="false" customHeight="false" outlineLevel="0" collapsed="false"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  <c r="L6" s="19" t="s">
        <v>67</v>
      </c>
    </row>
    <row r="9" customFormat="false" ht="15" hidden="false" customHeight="false" outlineLevel="0" collapsed="false">
      <c r="A9" s="23" t="s">
        <v>68</v>
      </c>
      <c r="B9" s="24"/>
      <c r="C9" s="24"/>
      <c r="D9" s="24"/>
      <c r="E9" s="24"/>
      <c r="F9" s="24"/>
      <c r="G9" s="24"/>
    </row>
    <row r="10" customFormat="false" ht="15" hidden="false" customHeight="false" outlineLevel="0" collapsed="false">
      <c r="A10" s="6" t="s">
        <v>69</v>
      </c>
      <c r="B10" s="4" t="s">
        <v>70</v>
      </c>
      <c r="D10" s="14" t="n">
        <f aca="false">Segments!D24</f>
        <v>0.21358267120678</v>
      </c>
      <c r="F10" s="14" t="n">
        <f aca="false">Segments!F24</f>
        <v>0.0960073338936633</v>
      </c>
      <c r="G10" s="14" t="n">
        <f aca="false">Segments!G24</f>
        <v>0.252561249834043</v>
      </c>
      <c r="L10" s="25" t="n">
        <f aca="false">AVERAGE(E10:G10)</f>
        <v>0.174284291863853</v>
      </c>
    </row>
    <row r="11" customFormat="false" ht="15" hidden="false" customHeight="false" outlineLevel="0" collapsed="false">
      <c r="A11" s="6" t="s">
        <v>71</v>
      </c>
      <c r="B11" s="4" t="s">
        <v>70</v>
      </c>
      <c r="D11" s="14" t="n">
        <f aca="false">Segments!D25</f>
        <v>0.259690694570351</v>
      </c>
      <c r="E11" s="14" t="n">
        <f aca="false">Segments!E25</f>
        <v>-0.038591908143176</v>
      </c>
      <c r="F11" s="14" t="n">
        <f aca="false">Segments!F25</f>
        <v>0.0206902579219415</v>
      </c>
      <c r="G11" s="14" t="n">
        <f aca="false">Segments!G25</f>
        <v>0.815863957936232</v>
      </c>
      <c r="L11" s="25" t="n">
        <f aca="false">AVERAGE(E11:G11)</f>
        <v>0.265987435904999</v>
      </c>
    </row>
    <row r="12" customFormat="false" ht="15" hidden="false" customHeight="false" outlineLevel="0" collapsed="false">
      <c r="A12" s="6" t="s">
        <v>72</v>
      </c>
      <c r="B12" s="4" t="s">
        <v>70</v>
      </c>
      <c r="D12" s="14" t="n">
        <f aca="false">Segments!D26</f>
        <v>0.188264167283311</v>
      </c>
      <c r="E12" s="14" t="n">
        <f aca="false">Segments!E26</f>
        <v>-0.00410389216867013</v>
      </c>
      <c r="F12" s="14" t="n">
        <f aca="false">Segments!F26</f>
        <v>-0.0348486473431793</v>
      </c>
      <c r="G12" s="14" t="n">
        <f aca="false">Segments!G26</f>
        <v>0.0484588057386783</v>
      </c>
      <c r="L12" s="25" t="n">
        <f aca="false">AVERAGE(E12:G12)</f>
        <v>0.00316875540894298</v>
      </c>
    </row>
    <row r="13" customFormat="false" ht="15" hidden="false" customHeight="false" outlineLevel="0" collapsed="false">
      <c r="A13" s="6" t="s">
        <v>73</v>
      </c>
      <c r="B13" s="4" t="s">
        <v>70</v>
      </c>
      <c r="F13" s="14" t="n">
        <f aca="false">Segments!F27</f>
        <v>-0.00503628067971829</v>
      </c>
      <c r="G13" s="14" t="n">
        <f aca="false">Segments!G27</f>
        <v>-0.159886973396846</v>
      </c>
      <c r="L13" s="25" t="n">
        <f aca="false">AVERAGE(E13:G13)</f>
        <v>-0.0824616270382823</v>
      </c>
    </row>
    <row r="14" customFormat="false" ht="15" hidden="false" customHeight="false" outlineLevel="0" collapsed="false">
      <c r="A14" s="6" t="s">
        <v>74</v>
      </c>
      <c r="B14" s="4" t="s">
        <v>75</v>
      </c>
      <c r="D14" s="14" t="n">
        <f aca="false">IS!D36</f>
        <v>0.221731768206415</v>
      </c>
      <c r="E14" s="14" t="n">
        <f aca="false">IS!E36</f>
        <v>0.0436558333849317</v>
      </c>
      <c r="F14" s="14" t="n">
        <f aca="false">IS!F36</f>
        <v>0.049650399338901</v>
      </c>
      <c r="G14" s="14" t="n">
        <f aca="false">IS!G36</f>
        <v>0.317555233972306</v>
      </c>
      <c r="L14" s="25" t="n">
        <f aca="false">AVERAGE(E14:G14)</f>
        <v>0.136953822232046</v>
      </c>
    </row>
    <row r="16" customFormat="false" ht="15" hidden="false" customHeight="false" outlineLevel="0" collapsed="false">
      <c r="A16" s="23" t="s">
        <v>76</v>
      </c>
      <c r="B16" s="24"/>
      <c r="C16" s="24"/>
      <c r="D16" s="24"/>
      <c r="E16" s="24"/>
      <c r="F16" s="24"/>
      <c r="G16" s="24"/>
    </row>
    <row r="17" customFormat="false" ht="15" hidden="false" customHeight="false" outlineLevel="0" collapsed="false">
      <c r="A17" s="6" t="s">
        <v>77</v>
      </c>
      <c r="B17" s="4" t="s">
        <v>75</v>
      </c>
      <c r="C17" s="14" t="n">
        <f aca="false">IS!C37</f>
        <v>0.286678815278428</v>
      </c>
      <c r="D17" s="14" t="n">
        <f aca="false">IS!D37</f>
        <v>0.288137576321136</v>
      </c>
      <c r="E17" s="14" t="n">
        <f aca="false">IS!E37</f>
        <v>0.292136804791965</v>
      </c>
      <c r="F17" s="14" t="n">
        <f aca="false">IS!F37</f>
        <v>0.324304799422118</v>
      </c>
      <c r="G17" s="14" t="n">
        <f aca="false">IS!G37</f>
        <v>0.342695334037114</v>
      </c>
      <c r="L17" s="25" t="n">
        <f aca="false">AVERAGE(E17:G17)</f>
        <v>0.319712312750399</v>
      </c>
    </row>
    <row r="18" customFormat="false" ht="15" hidden="false" customHeight="false" outlineLevel="0" collapsed="false">
      <c r="A18" s="6" t="s">
        <v>78</v>
      </c>
      <c r="B18" s="4" t="s">
        <v>75</v>
      </c>
      <c r="C18" s="14" t="n">
        <f aca="false">IS!C38</f>
        <v>0.0864474534840532</v>
      </c>
      <c r="D18" s="14" t="n">
        <f aca="false">IS!D38</f>
        <v>0.0826389231881232</v>
      </c>
      <c r="E18" s="14" t="n">
        <f aca="false">IS!E38</f>
        <v>0.089844140180561</v>
      </c>
      <c r="F18" s="14" t="n">
        <f aca="false">IS!F38</f>
        <v>0.0987178277755034</v>
      </c>
      <c r="G18" s="14" t="n">
        <f aca="false">IS!G38</f>
        <v>0.0878428759876314</v>
      </c>
      <c r="L18" s="25" t="n">
        <f aca="false">AVERAGE(E18:G18)</f>
        <v>0.0921349479812319</v>
      </c>
    </row>
    <row r="19" customFormat="false" ht="15" hidden="false" customHeight="false" outlineLevel="0" collapsed="false">
      <c r="A19" s="6" t="s">
        <v>79</v>
      </c>
      <c r="B19" s="4" t="s">
        <v>75</v>
      </c>
      <c r="C19" s="14" t="n">
        <f aca="false">IS!C39</f>
        <v>0.101120264112466</v>
      </c>
      <c r="D19" s="14" t="n">
        <f aca="false">IS!D39</f>
        <v>0.0973621681561433</v>
      </c>
      <c r="E19" s="14" t="n">
        <f aca="false">IS!E39</f>
        <v>0.0999136221064321</v>
      </c>
      <c r="F19" s="14" t="n">
        <f aca="false">IS!F39</f>
        <v>0.112123295541282</v>
      </c>
      <c r="G19" s="14" t="n">
        <f aca="false">IS!G39</f>
        <v>0.10283730272639</v>
      </c>
      <c r="L19" s="25" t="n">
        <f aca="false">AVERAGE(E19:G19)</f>
        <v>0.104958073458035</v>
      </c>
    </row>
    <row r="20" customFormat="false" ht="15" hidden="false" customHeight="false" outlineLevel="0" collapsed="false">
      <c r="A20" s="6" t="s">
        <v>31</v>
      </c>
      <c r="B20" s="4" t="s">
        <v>75</v>
      </c>
      <c r="C20" s="14" t="n">
        <f aca="false">IS!C40</f>
        <v>0.0996747756661854</v>
      </c>
      <c r="D20" s="14" t="n">
        <f aca="false">IS!D40</f>
        <v>0.107789167187168</v>
      </c>
      <c r="E20" s="14" t="n">
        <f aca="false">IS!E40</f>
        <v>0.102061645723646</v>
      </c>
      <c r="F20" s="14" t="n">
        <f aca="false">IS!F40</f>
        <v>0.113147440150057</v>
      </c>
      <c r="G20" s="14" t="n">
        <f aca="false">IS!G40</f>
        <v>0.151260258591017</v>
      </c>
      <c r="L20" s="25" t="n">
        <f aca="false">AVERAGE(E20:G20)</f>
        <v>0.122156448154906</v>
      </c>
    </row>
    <row r="21" customFormat="false" ht="15" hidden="false" customHeight="false" outlineLevel="0" collapsed="false">
      <c r="A21" s="6" t="s">
        <v>80</v>
      </c>
      <c r="B21" s="4" t="s">
        <v>75</v>
      </c>
      <c r="C21" s="14" t="n">
        <f aca="false">IS!C42</f>
        <v>0.200078719985971</v>
      </c>
      <c r="D21" s="14" t="n">
        <f aca="false">IS!D42</f>
        <v>0.196993407054482</v>
      </c>
      <c r="E21" s="14" t="n">
        <f aca="false">IS!E42</f>
        <v>0.200685040170234</v>
      </c>
      <c r="F21" s="14" t="n">
        <f aca="false">IS!F42</f>
        <v>0.212888907839148</v>
      </c>
      <c r="G21" s="14" t="n">
        <f aca="false">IS!G42</f>
        <v>0.226819121244583</v>
      </c>
      <c r="L21" s="25" t="n">
        <f aca="false">AVERAGE(E21:G21)</f>
        <v>0.213464356417988</v>
      </c>
    </row>
    <row r="22" customFormat="false" ht="15" hidden="false" customHeight="false" outlineLevel="0" collapsed="false">
      <c r="A22" s="6" t="s">
        <v>81</v>
      </c>
      <c r="B22" s="4" t="s">
        <v>82</v>
      </c>
      <c r="C22" s="14" t="n">
        <f aca="false">Schedules!C57</f>
        <v>0.0597535730172107</v>
      </c>
      <c r="D22" s="14" t="n">
        <f aca="false">Schedules!D57</f>
        <v>0.116921430440236</v>
      </c>
      <c r="E22" s="14" t="n">
        <f aca="false">Schedules!E57</f>
        <v>0.141143266471739</v>
      </c>
      <c r="F22" s="14" t="n">
        <f aca="false">Schedules!F57</f>
        <v>0.127813379680177</v>
      </c>
      <c r="G22" s="14" t="n">
        <f aca="false">Schedules!G57</f>
        <v>0.11522423326272</v>
      </c>
      <c r="L22" s="25" t="n">
        <f aca="false">AVERAGE(E22:G22)</f>
        <v>0.128060293138212</v>
      </c>
    </row>
    <row r="24" customFormat="false" ht="15" hidden="false" customHeight="false" outlineLevel="0" collapsed="false">
      <c r="A24" s="23" t="s">
        <v>83</v>
      </c>
      <c r="B24" s="24"/>
      <c r="C24" s="24"/>
      <c r="D24" s="24"/>
      <c r="E24" s="24"/>
      <c r="F24" s="24"/>
      <c r="G24" s="24"/>
    </row>
    <row r="25" customFormat="false" ht="15" hidden="false" customHeight="false" outlineLevel="0" collapsed="false">
      <c r="A25" s="6" t="s">
        <v>84</v>
      </c>
      <c r="B25" s="4" t="s">
        <v>82</v>
      </c>
      <c r="C25" s="26" t="n">
        <f aca="false">Schedules!C14</f>
        <v>82.1900506140392</v>
      </c>
      <c r="D25" s="26" t="n">
        <f aca="false">Schedules!D14</f>
        <v>82.7876668749297</v>
      </c>
      <c r="E25" s="26" t="n">
        <f aca="false">Schedules!E14</f>
        <v>72.2125206654782</v>
      </c>
      <c r="F25" s="26" t="n">
        <f aca="false">Schedules!F14</f>
        <v>77.9322646409178</v>
      </c>
      <c r="G25" s="26" t="n">
        <f aca="false">Schedules!G14</f>
        <v>80.0643960625742</v>
      </c>
      <c r="L25" s="27" t="n">
        <f aca="false">AVERAGE(E25:G25)</f>
        <v>76.7363937896567</v>
      </c>
    </row>
    <row r="26" customFormat="false" ht="15" hidden="false" customHeight="false" outlineLevel="0" collapsed="false">
      <c r="A26" s="6" t="s">
        <v>85</v>
      </c>
      <c r="B26" s="4" t="s">
        <v>82</v>
      </c>
      <c r="C26" s="26" t="n">
        <f aca="false">Schedules!C15</f>
        <v>107.498166844719</v>
      </c>
      <c r="D26" s="26" t="n">
        <f aca="false">Schedules!D15</f>
        <v>106.489982551843</v>
      </c>
      <c r="E26" s="26" t="n">
        <f aca="false">Schedules!E15</f>
        <v>97.9625890142191</v>
      </c>
      <c r="F26" s="26" t="n">
        <f aca="false">Schedules!F15</f>
        <v>107.558231524377</v>
      </c>
      <c r="G26" s="26" t="n">
        <f aca="false">Schedules!G15</f>
        <v>101.553816740617</v>
      </c>
      <c r="L26" s="27" t="n">
        <f aca="false">AVERAGE(E26:G26)</f>
        <v>102.358212426404</v>
      </c>
    </row>
    <row r="27" customFormat="false" ht="15" hidden="false" customHeight="false" outlineLevel="0" collapsed="false">
      <c r="A27" s="6" t="s">
        <v>86</v>
      </c>
      <c r="B27" s="4" t="s">
        <v>82</v>
      </c>
      <c r="C27" s="26" t="n">
        <f aca="false">Schedules!C16</f>
        <v>88.7369833099771</v>
      </c>
      <c r="D27" s="26" t="n">
        <f aca="false">Schedules!D16</f>
        <v>83.6451099294519</v>
      </c>
      <c r="E27" s="26" t="n">
        <f aca="false">Schedules!E16</f>
        <v>68.8055899376295</v>
      </c>
      <c r="F27" s="26" t="n">
        <f aca="false">Schedules!F16</f>
        <v>88.789116829317</v>
      </c>
      <c r="G27" s="26" t="n">
        <f aca="false">Schedules!G16</f>
        <v>94.5217871858202</v>
      </c>
      <c r="L27" s="27" t="n">
        <f aca="false">AVERAGE(E27:G27)</f>
        <v>84.0388313175889</v>
      </c>
    </row>
    <row r="29" customFormat="false" ht="15" hidden="false" customHeight="false" outlineLevel="0" collapsed="false">
      <c r="A29" s="23" t="s">
        <v>87</v>
      </c>
      <c r="B29" s="24"/>
      <c r="C29" s="24"/>
      <c r="D29" s="24"/>
      <c r="E29" s="24"/>
      <c r="F29" s="24"/>
      <c r="G29" s="24"/>
    </row>
    <row r="30" customFormat="false" ht="15" hidden="false" customHeight="false" outlineLevel="0" collapsed="false">
      <c r="A30" s="6" t="s">
        <v>88</v>
      </c>
      <c r="B30" s="4" t="s">
        <v>82</v>
      </c>
      <c r="C30" s="14" t="n">
        <f aca="false">Schedules!C28</f>
        <v>0.0773133964424204</v>
      </c>
      <c r="D30" s="14" t="n">
        <f aca="false">Schedules!D28</f>
        <v>0.0583690170515336</v>
      </c>
      <c r="E30" s="14" t="n">
        <f aca="false">Schedules!E28</f>
        <v>0.0705328709082454</v>
      </c>
      <c r="F30" s="14" t="n">
        <f aca="false">Schedules!F28</f>
        <v>0.0832828789269221</v>
      </c>
      <c r="G30" s="14" t="n">
        <f aca="false">Schedules!G28</f>
        <v>0.0849775588162775</v>
      </c>
      <c r="L30" s="25" t="n">
        <f aca="false">AVERAGE(E30:G30)</f>
        <v>0.0795977695504817</v>
      </c>
    </row>
    <row r="31" customFormat="false" ht="15" hidden="false" customHeight="false" outlineLevel="0" collapsed="false">
      <c r="A31" s="6" t="s">
        <v>89</v>
      </c>
      <c r="B31" s="4" t="s">
        <v>82</v>
      </c>
      <c r="D31" s="14" t="n">
        <f aca="false">Schedules!D29</f>
        <v>0.196068076293266</v>
      </c>
      <c r="E31" s="14" t="n">
        <f aca="false">Schedules!E29</f>
        <v>0.203752908411689</v>
      </c>
      <c r="F31" s="14" t="n">
        <f aca="false">Schedules!F29</f>
        <v>0.215247039803415</v>
      </c>
      <c r="G31" s="14" t="n">
        <f aca="false">Schedules!G29</f>
        <v>0.207607259307943</v>
      </c>
      <c r="L31" s="25" t="n">
        <f aca="false">AVERAGE(E31:G31)</f>
        <v>0.208869069174349</v>
      </c>
    </row>
    <row r="32" customFormat="false" ht="15" hidden="false" customHeight="false" outlineLevel="0" collapsed="false">
      <c r="A32" s="6" t="s">
        <v>90</v>
      </c>
      <c r="B32" s="4" t="s">
        <v>82</v>
      </c>
      <c r="C32" s="14" t="n">
        <f aca="false">Schedules!C30</f>
        <v>0.0545055442641077</v>
      </c>
      <c r="D32" s="14" t="n">
        <f aca="false">Schedules!D30</f>
        <v>0.0492560921362169</v>
      </c>
      <c r="E32" s="14" t="n">
        <f aca="false">Schedules!E30</f>
        <v>0.0538093893254574</v>
      </c>
      <c r="F32" s="14" t="n">
        <f aca="false">Schedules!F30</f>
        <v>0.0594000168924166</v>
      </c>
      <c r="G32" s="14" t="n">
        <f aca="false">Schedules!G30</f>
        <v>0.050170850845305</v>
      </c>
      <c r="L32" s="25" t="n">
        <f aca="false">AVERAGE(E32:G32)</f>
        <v>0.0544600856877263</v>
      </c>
    </row>
    <row r="33" customFormat="false" ht="15" hidden="false" customHeight="false" outlineLevel="0" collapsed="false">
      <c r="A33" s="6" t="s">
        <v>91</v>
      </c>
      <c r="B33" s="4" t="s">
        <v>82</v>
      </c>
      <c r="D33" s="14" t="n">
        <f aca="false">Schedules!D42</f>
        <v>0.0120652092636797</v>
      </c>
      <c r="E33" s="14" t="n">
        <f aca="false">Schedules!E42</f>
        <v>0.0225769597905649</v>
      </c>
      <c r="F33" s="14" t="n">
        <f aca="false">Schedules!F42</f>
        <v>0.0254231229041411</v>
      </c>
      <c r="G33" s="14" t="n">
        <f aca="false">Schedules!G42</f>
        <v>0.0320097868703348</v>
      </c>
      <c r="L33" s="25" t="n">
        <f aca="false">AVERAGE(E33:G33)</f>
        <v>0.0266699565216803</v>
      </c>
    </row>
    <row r="34" customFormat="false" ht="15" hidden="false" customHeight="false" outlineLevel="0" collapsed="false">
      <c r="A34" s="6" t="s">
        <v>92</v>
      </c>
      <c r="B34" s="4" t="s">
        <v>82</v>
      </c>
      <c r="D34" s="14" t="n">
        <f aca="false">Schedules!D46</f>
        <v>0.0109443925138469</v>
      </c>
      <c r="E34" s="14" t="n">
        <f aca="false">Schedules!E46</f>
        <v>0.0277862653167641</v>
      </c>
      <c r="F34" s="14" t="n">
        <f aca="false">Schedules!F46</f>
        <v>0.0332508038960864</v>
      </c>
      <c r="G34" s="14" t="n">
        <f aca="false">Schedules!G46</f>
        <v>0.0276704410141144</v>
      </c>
      <c r="L34" s="25" t="n">
        <f aca="false">AVERAGE(E34:G34)</f>
        <v>0.029569170075655</v>
      </c>
    </row>
    <row r="35" customFormat="false" ht="15" hidden="false" customHeight="false" outlineLevel="0" collapsed="false">
      <c r="A35" s="6" t="s">
        <v>93</v>
      </c>
      <c r="B35" s="4" t="s">
        <v>82</v>
      </c>
      <c r="D35" s="14" t="n">
        <f aca="false">Schedules!D56</f>
        <v>0.533151141526917</v>
      </c>
      <c r="E35" s="14" t="n">
        <f aca="false">Schedules!E56</f>
        <v>0.78246540227115</v>
      </c>
      <c r="F35" s="14" t="n">
        <f aca="false">Schedules!F56</f>
        <v>0.500174843786802</v>
      </c>
      <c r="G35" s="14" t="n">
        <f aca="false">Schedules!G56</f>
        <v>0.516137878631884</v>
      </c>
      <c r="L35" s="25" t="n">
        <f aca="false">AVERAGE(E35:G35)</f>
        <v>0.599592708229946</v>
      </c>
    </row>
    <row r="37" customFormat="false" ht="15" hidden="false" customHeight="false" outlineLevel="0" collapsed="false">
      <c r="A37" s="19" t="s">
        <v>94</v>
      </c>
    </row>
  </sheetData>
  <dataValidations count="1">
    <dataValidation allowBlank="false" errorStyle="stop" operator="between" showDropDown="false" showErrorMessage="false" showInputMessage="false" sqref="B3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7" min="3" style="1" width="12"/>
    <col collapsed="false" customWidth="true" hidden="false" outlineLevel="0" max="8" min="8" style="1" width="3"/>
    <col collapsed="false" customWidth="true" hidden="false" outlineLevel="0" max="10" min="9" style="1" width="12"/>
  </cols>
  <sheetData>
    <row r="1" customFormat="false" ht="17.35" hidden="false" customHeight="false" outlineLevel="0" collapsed="false">
      <c r="A1" s="18" t="s">
        <v>95</v>
      </c>
    </row>
    <row r="2" customFormat="false" ht="15" hidden="false" customHeight="false" outlineLevel="0" collapsed="false">
      <c r="A2" s="19" t="s">
        <v>96</v>
      </c>
    </row>
    <row r="3" customFormat="false" ht="15" hidden="false" customHeight="false" outlineLevel="0" collapsed="false">
      <c r="A3" s="19" t="s">
        <v>97</v>
      </c>
      <c r="C3" s="28" t="s">
        <v>98</v>
      </c>
      <c r="D3" s="28" t="s">
        <v>99</v>
      </c>
      <c r="E3" s="28" t="s">
        <v>100</v>
      </c>
      <c r="F3" s="28" t="s">
        <v>101</v>
      </c>
      <c r="G3" s="28" t="s">
        <v>102</v>
      </c>
      <c r="I3" s="28" t="s">
        <v>103</v>
      </c>
      <c r="J3" s="28" t="s">
        <v>104</v>
      </c>
    </row>
    <row r="4" customFormat="false" ht="15" hidden="false" customHeight="false" outlineLevel="0" collapsed="false">
      <c r="A4" s="6"/>
      <c r="I4" s="19" t="s">
        <v>105</v>
      </c>
    </row>
    <row r="5" customFormat="false" ht="15" hidden="false" customHeight="false" outlineLevel="0" collapsed="false">
      <c r="A5" s="21" t="s">
        <v>57</v>
      </c>
      <c r="B5" s="21" t="s">
        <v>58</v>
      </c>
      <c r="C5" s="12" t="s">
        <v>59</v>
      </c>
      <c r="D5" s="12" t="s">
        <v>60</v>
      </c>
      <c r="E5" s="12" t="s">
        <v>26</v>
      </c>
      <c r="F5" s="12" t="s">
        <v>27</v>
      </c>
      <c r="G5" s="12" t="s">
        <v>28</v>
      </c>
      <c r="I5" s="12" t="s">
        <v>106</v>
      </c>
      <c r="J5" s="12" t="s">
        <v>29</v>
      </c>
    </row>
    <row r="6" customFormat="false" ht="15" hidden="false" customHeight="false" outlineLevel="0" collapsed="false"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  <c r="I6" s="22" t="s">
        <v>107</v>
      </c>
      <c r="J6" s="22" t="s">
        <v>108</v>
      </c>
    </row>
    <row r="8" customFormat="false" ht="15" hidden="false" customHeight="false" outlineLevel="0" collapsed="false">
      <c r="A8" s="23" t="s">
        <v>109</v>
      </c>
      <c r="B8" s="24"/>
      <c r="C8" s="24"/>
      <c r="D8" s="24"/>
      <c r="E8" s="24"/>
      <c r="F8" s="24"/>
      <c r="G8" s="24"/>
      <c r="I8" s="24"/>
      <c r="J8" s="24"/>
    </row>
    <row r="9" customFormat="false" ht="15" hidden="false" customHeight="false" outlineLevel="0" collapsed="false">
      <c r="A9" s="6" t="s">
        <v>110</v>
      </c>
      <c r="B9" s="4" t="s">
        <v>111</v>
      </c>
      <c r="C9" s="29" t="n">
        <v>314670.796</v>
      </c>
      <c r="D9" s="29" t="n">
        <v>384443.308</v>
      </c>
      <c r="E9" s="29" t="n">
        <v>401226.501</v>
      </c>
      <c r="F9" s="29" t="n">
        <v>421147.557</v>
      </c>
      <c r="G9" s="29" t="n">
        <v>554885.168</v>
      </c>
      <c r="I9" s="29" t="n">
        <v>242954.492</v>
      </c>
      <c r="J9" s="29" t="n">
        <v>342608.732</v>
      </c>
    </row>
    <row r="10" customFormat="false" ht="15" hidden="false" customHeight="false" outlineLevel="0" collapsed="false">
      <c r="A10" s="6" t="s">
        <v>112</v>
      </c>
      <c r="B10" s="4" t="s">
        <v>111</v>
      </c>
      <c r="C10" s="29" t="n">
        <v>-224461.345</v>
      </c>
      <c r="D10" s="29" t="n">
        <v>-273670.745</v>
      </c>
      <c r="E10" s="29" t="n">
        <v>-284013.473</v>
      </c>
      <c r="F10" s="29" t="n">
        <v>-284567.383</v>
      </c>
      <c r="G10" s="29" t="n">
        <v>-364728.61</v>
      </c>
      <c r="I10" s="29" t="n">
        <v>-161117.207</v>
      </c>
      <c r="J10" s="29" t="n">
        <v>-218339.911</v>
      </c>
    </row>
    <row r="11" customFormat="false" ht="15" hidden="false" customHeight="false" outlineLevel="0" collapsed="false">
      <c r="A11" s="6" t="s">
        <v>113</v>
      </c>
      <c r="B11" s="4" t="s">
        <v>111</v>
      </c>
      <c r="C11" s="29" t="n">
        <v>90209.451</v>
      </c>
      <c r="D11" s="29" t="n">
        <v>110772.563</v>
      </c>
      <c r="E11" s="29" t="n">
        <v>117213.028</v>
      </c>
      <c r="F11" s="29" t="n">
        <v>136580.174</v>
      </c>
      <c r="G11" s="29" t="n">
        <v>190156.558</v>
      </c>
      <c r="I11" s="29" t="n">
        <v>81837.285</v>
      </c>
      <c r="J11" s="29" t="n">
        <v>124268.821</v>
      </c>
    </row>
    <row r="12" customFormat="false" ht="15" hidden="false" customHeight="false" outlineLevel="0" collapsed="false">
      <c r="A12" s="6" t="s">
        <v>114</v>
      </c>
      <c r="B12" s="4" t="s">
        <v>111</v>
      </c>
      <c r="C12" s="29" t="n">
        <v>-19441.53</v>
      </c>
      <c r="D12" s="29" t="n">
        <v>-22533.664</v>
      </c>
      <c r="E12" s="29" t="n">
        <v>-24136.041</v>
      </c>
      <c r="F12" s="29" t="n">
        <v>-27828.065</v>
      </c>
      <c r="G12" s="29" t="n">
        <v>-34726.493</v>
      </c>
      <c r="I12" s="29" t="n">
        <v>-15547.743</v>
      </c>
      <c r="J12" s="29" t="n">
        <v>-21390.676</v>
      </c>
    </row>
    <row r="13" customFormat="false" ht="15" hidden="false" customHeight="false" outlineLevel="0" collapsed="false">
      <c r="A13" s="6" t="s">
        <v>115</v>
      </c>
      <c r="B13" s="4" t="s">
        <v>111</v>
      </c>
      <c r="C13" s="29" t="n">
        <v>-12378.064</v>
      </c>
      <c r="D13" s="29" t="n">
        <v>-14896.57</v>
      </c>
      <c r="E13" s="29" t="n">
        <v>-15951.952</v>
      </c>
      <c r="F13" s="29" t="n">
        <v>-19392.387</v>
      </c>
      <c r="G13" s="29" t="n">
        <v>-22336.401</v>
      </c>
      <c r="I13" s="29" t="n">
        <v>-10347.947</v>
      </c>
      <c r="J13" s="29" t="n">
        <v>-13390.599</v>
      </c>
    </row>
    <row r="14" customFormat="false" ht="15" hidden="false" customHeight="false" outlineLevel="0" collapsed="false">
      <c r="A14" s="6" t="s">
        <v>116</v>
      </c>
      <c r="B14" s="4" t="s">
        <v>111</v>
      </c>
      <c r="C14" s="29" t="n">
        <v>-27202.489</v>
      </c>
      <c r="D14" s="29" t="n">
        <v>-31769.981</v>
      </c>
      <c r="E14" s="29" t="n">
        <v>-36047.85</v>
      </c>
      <c r="F14" s="29" t="n">
        <v>-41574.772</v>
      </c>
      <c r="G14" s="29" t="n">
        <v>-48742.709</v>
      </c>
      <c r="I14" s="29" t="n">
        <v>-22908.678</v>
      </c>
      <c r="J14" s="29" t="n">
        <v>-29438.966</v>
      </c>
    </row>
    <row r="15" customFormat="false" ht="15" hidden="false" customHeight="false" outlineLevel="0" collapsed="false">
      <c r="A15" s="6" t="s">
        <v>117</v>
      </c>
      <c r="B15" s="4" t="s">
        <v>111</v>
      </c>
      <c r="C15" s="29" t="n">
        <v>177.373</v>
      </c>
      <c r="D15" s="29" t="n">
        <v>-133.524</v>
      </c>
      <c r="E15" s="29" t="n">
        <v>-127.348</v>
      </c>
      <c r="F15" s="29" t="n">
        <v>-133.182</v>
      </c>
      <c r="G15" s="29" t="n">
        <v>-418.881</v>
      </c>
      <c r="I15" s="29" t="n">
        <v>-328.143</v>
      </c>
      <c r="J15" s="29" t="n">
        <v>-1061.235</v>
      </c>
    </row>
    <row r="16" customFormat="false" ht="15" hidden="false" customHeight="false" outlineLevel="0" collapsed="false">
      <c r="A16" s="6" t="s">
        <v>118</v>
      </c>
      <c r="B16" s="4" t="s">
        <v>111</v>
      </c>
      <c r="C16" s="29" t="n">
        <v>-58844.71</v>
      </c>
      <c r="D16" s="29" t="n">
        <v>-69333.739</v>
      </c>
      <c r="E16" s="29" t="n">
        <v>-76263.191</v>
      </c>
      <c r="F16" s="29" t="n">
        <v>-88928.406</v>
      </c>
      <c r="G16" s="29" t="n">
        <v>-106224.484</v>
      </c>
      <c r="I16" s="29" t="n">
        <v>-49132.511</v>
      </c>
      <c r="J16" s="29" t="n">
        <v>-65281.476</v>
      </c>
    </row>
    <row r="17" customFormat="false" ht="15" hidden="false" customHeight="false" outlineLevel="0" collapsed="false">
      <c r="A17" s="6" t="s">
        <v>119</v>
      </c>
      <c r="B17" s="4" t="s">
        <v>111</v>
      </c>
      <c r="C17" s="29" t="n">
        <v>31364.741</v>
      </c>
      <c r="D17" s="29" t="n">
        <v>41438.824</v>
      </c>
      <c r="E17" s="29" t="n">
        <v>40949.837</v>
      </c>
      <c r="F17" s="29" t="n">
        <v>47651.768</v>
      </c>
      <c r="G17" s="29" t="n">
        <v>83932.074</v>
      </c>
      <c r="I17" s="29" t="n">
        <v>32704.774</v>
      </c>
      <c r="J17" s="29" t="n">
        <v>58987.345</v>
      </c>
    </row>
    <row r="18" customFormat="false" ht="15" hidden="false" customHeight="false" outlineLevel="0" collapsed="false">
      <c r="A18" s="6" t="s">
        <v>120</v>
      </c>
      <c r="B18" s="4" t="s">
        <v>111</v>
      </c>
      <c r="C18" s="29" t="n">
        <v>429.643</v>
      </c>
      <c r="D18" s="29" t="n">
        <v>609.613</v>
      </c>
      <c r="E18" s="29" t="n">
        <v>2070.115</v>
      </c>
      <c r="F18" s="29" t="n">
        <v>3406.797</v>
      </c>
      <c r="G18" s="29" t="n">
        <v>3716.575</v>
      </c>
      <c r="I18" s="29" t="n">
        <v>1862.451</v>
      </c>
      <c r="J18" s="29" t="n">
        <v>1920.977</v>
      </c>
    </row>
    <row r="19" customFormat="false" ht="15" hidden="false" customHeight="false" outlineLevel="0" collapsed="false">
      <c r="A19" s="6" t="s">
        <v>121</v>
      </c>
      <c r="B19" s="4" t="s">
        <v>111</v>
      </c>
      <c r="C19" s="29" t="n">
        <v>3090.291</v>
      </c>
      <c r="D19" s="29" t="n">
        <v>3360.096</v>
      </c>
      <c r="E19" s="29" t="n">
        <v>4440.902</v>
      </c>
      <c r="F19" s="29" t="n">
        <v>4756.442</v>
      </c>
      <c r="G19" s="29" t="n">
        <v>5512.038</v>
      </c>
      <c r="I19" s="29" t="n">
        <v>2540.869</v>
      </c>
      <c r="J19" s="29" t="n">
        <v>3063.375</v>
      </c>
    </row>
    <row r="20" customFormat="false" ht="15" hidden="false" customHeight="false" outlineLevel="0" collapsed="false">
      <c r="A20" s="6" t="s">
        <v>122</v>
      </c>
      <c r="B20" s="4" t="s">
        <v>111</v>
      </c>
      <c r="C20" s="29" t="n">
        <v>1038.291</v>
      </c>
      <c r="D20" s="29" t="n">
        <v>1197.074</v>
      </c>
      <c r="E20" s="29" t="n">
        <v>2343.695</v>
      </c>
      <c r="F20" s="29" t="n">
        <v>-2879.167</v>
      </c>
      <c r="G20" s="29" t="n">
        <v>-3083.349</v>
      </c>
      <c r="I20" s="29" t="n">
        <v>-850.207</v>
      </c>
      <c r="J20" s="29" t="n">
        <v>3225.012</v>
      </c>
    </row>
    <row r="21" customFormat="false" ht="15" hidden="false" customHeight="false" outlineLevel="0" collapsed="false">
      <c r="A21" s="6" t="s">
        <v>123</v>
      </c>
      <c r="B21" s="4" t="s">
        <v>111</v>
      </c>
      <c r="C21" s="29" t="n">
        <v>-295.157</v>
      </c>
      <c r="D21" s="29" t="n">
        <v>-571.44</v>
      </c>
      <c r="E21" s="29" t="n">
        <v>-1170.718</v>
      </c>
      <c r="F21" s="29" t="n">
        <v>-1547.313</v>
      </c>
      <c r="G21" s="29" t="n">
        <v>-2216.008</v>
      </c>
      <c r="I21" s="29" t="n">
        <v>-1037.29</v>
      </c>
      <c r="J21" s="29" t="n">
        <v>-1094.432</v>
      </c>
    </row>
    <row r="22" customFormat="false" ht="15" hidden="false" customHeight="false" outlineLevel="0" collapsed="false">
      <c r="A22" s="6" t="s">
        <v>124</v>
      </c>
      <c r="B22" s="4" t="s">
        <v>111</v>
      </c>
      <c r="C22" s="29" t="n">
        <v>-0.262</v>
      </c>
      <c r="D22" s="29" t="n">
        <v>31.131</v>
      </c>
      <c r="E22" s="29" t="n">
        <v>8.28</v>
      </c>
      <c r="F22" s="29" t="n">
        <v>-72.899</v>
      </c>
      <c r="G22" s="29" t="n">
        <v>4.666</v>
      </c>
      <c r="I22" s="29" t="n">
        <v>13.49</v>
      </c>
      <c r="J22" s="29" t="n">
        <v>-9.84</v>
      </c>
    </row>
    <row r="23" customFormat="false" ht="15" hidden="false" customHeight="false" outlineLevel="0" collapsed="false">
      <c r="A23" s="6" t="s">
        <v>125</v>
      </c>
      <c r="B23" s="4" t="s">
        <v>111</v>
      </c>
      <c r="C23" s="29" t="n">
        <v>4262.806</v>
      </c>
      <c r="D23" s="29" t="n">
        <v>4626.474</v>
      </c>
      <c r="E23" s="29" t="n">
        <v>7692.274</v>
      </c>
      <c r="F23" s="29" t="n">
        <v>3663.86</v>
      </c>
      <c r="G23" s="29" t="n">
        <v>3933.922</v>
      </c>
      <c r="I23" s="29" t="n">
        <v>2529.313</v>
      </c>
      <c r="J23" s="29" t="n">
        <v>7105.092</v>
      </c>
    </row>
    <row r="24" customFormat="false" ht="15" hidden="false" customHeight="false" outlineLevel="0" collapsed="false">
      <c r="A24" s="6" t="s">
        <v>126</v>
      </c>
      <c r="B24" s="4" t="s">
        <v>111</v>
      </c>
      <c r="C24" s="29" t="n">
        <v>35627.547</v>
      </c>
      <c r="D24" s="29" t="n">
        <v>46065.298</v>
      </c>
      <c r="E24" s="29" t="n">
        <v>48642.111</v>
      </c>
      <c r="F24" s="29" t="n">
        <v>51315.628</v>
      </c>
      <c r="G24" s="29" t="n">
        <v>87865.996</v>
      </c>
      <c r="I24" s="29" t="n">
        <v>35234.087</v>
      </c>
      <c r="J24" s="29" t="n">
        <v>66092.437</v>
      </c>
    </row>
    <row r="25" customFormat="false" ht="15" hidden="false" customHeight="false" outlineLevel="0" collapsed="false">
      <c r="A25" s="6" t="s">
        <v>127</v>
      </c>
      <c r="B25" s="4" t="s">
        <v>111</v>
      </c>
      <c r="C25" s="29" t="n">
        <v>-7128.314</v>
      </c>
      <c r="D25" s="29" t="n">
        <v>-9074.56</v>
      </c>
      <c r="E25" s="29" t="n">
        <v>-9761.744</v>
      </c>
      <c r="F25" s="29" t="n">
        <v>-10924.528</v>
      </c>
      <c r="G25" s="29" t="n">
        <v>-19929.688</v>
      </c>
      <c r="I25" s="29" t="n">
        <v>-7857.035</v>
      </c>
      <c r="J25" s="29" t="n">
        <v>-15088.837</v>
      </c>
    </row>
    <row r="26" customFormat="false" ht="15" hidden="false" customHeight="false" outlineLevel="0" collapsed="false">
      <c r="A26" s="6" t="s">
        <v>128</v>
      </c>
      <c r="B26" s="4" t="s">
        <v>111</v>
      </c>
      <c r="C26" s="29" t="n">
        <v>28499.233</v>
      </c>
      <c r="D26" s="29" t="n">
        <v>36990.738</v>
      </c>
      <c r="E26" s="29" t="n">
        <v>38880.367</v>
      </c>
      <c r="F26" s="29" t="n">
        <v>40391.1</v>
      </c>
      <c r="G26" s="29" t="n">
        <v>67936.308</v>
      </c>
      <c r="I26" s="29" t="n">
        <v>27377.052</v>
      </c>
      <c r="J26" s="29" t="n">
        <v>51003.6</v>
      </c>
    </row>
    <row r="27" customFormat="false" ht="15" hidden="false" customHeight="false" outlineLevel="0" collapsed="false">
      <c r="A27" s="6" t="s">
        <v>129</v>
      </c>
      <c r="B27" s="4" t="s">
        <v>111</v>
      </c>
      <c r="C27" s="29" t="n">
        <v>26796.302</v>
      </c>
      <c r="D27" s="29" t="n">
        <v>32665.728</v>
      </c>
      <c r="E27" s="29" t="n">
        <v>33392.665</v>
      </c>
      <c r="F27" s="29" t="n">
        <v>35228.577</v>
      </c>
      <c r="G27" s="29" t="n">
        <v>60108.399</v>
      </c>
      <c r="I27" s="29" t="n">
        <v>24178.986</v>
      </c>
      <c r="J27" s="29" t="n">
        <v>45691.231</v>
      </c>
    </row>
    <row r="28" customFormat="false" ht="15" hidden="false" customHeight="false" outlineLevel="0" collapsed="false">
      <c r="A28" s="6" t="s">
        <v>130</v>
      </c>
      <c r="B28" s="4" t="s">
        <v>111</v>
      </c>
      <c r="C28" s="29" t="n">
        <v>1702.931</v>
      </c>
      <c r="D28" s="29" t="n">
        <v>4325.01</v>
      </c>
      <c r="E28" s="29" t="n">
        <v>5487.702</v>
      </c>
      <c r="F28" s="29" t="n">
        <v>5162.523</v>
      </c>
      <c r="G28" s="29" t="n">
        <v>7827.909</v>
      </c>
      <c r="I28" s="29" t="n">
        <v>3198.066</v>
      </c>
      <c r="J28" s="29" t="n">
        <v>5312.369</v>
      </c>
    </row>
    <row r="29" customFormat="false" ht="15" hidden="false" customHeight="false" outlineLevel="0" collapsed="false">
      <c r="A29" s="6" t="s">
        <v>131</v>
      </c>
      <c r="B29" s="4" t="s">
        <v>111</v>
      </c>
      <c r="C29" s="30" t="n">
        <v>10.32</v>
      </c>
      <c r="D29" s="30" t="n">
        <v>12.58</v>
      </c>
      <c r="E29" s="30" t="n">
        <v>12.86</v>
      </c>
      <c r="F29" s="30" t="n">
        <v>13.56</v>
      </c>
      <c r="G29" s="30" t="n">
        <v>23.14</v>
      </c>
      <c r="I29" s="30" t="n">
        <v>9.31</v>
      </c>
      <c r="J29" s="30" t="n">
        <v>17.59</v>
      </c>
    </row>
    <row r="30" customFormat="false" ht="15" hidden="false" customHeight="false" outlineLevel="0" collapsed="false">
      <c r="A30" s="6" t="s">
        <v>132</v>
      </c>
      <c r="B30" s="4" t="s">
        <v>111</v>
      </c>
      <c r="C30" s="30" t="n">
        <v>10.27</v>
      </c>
      <c r="D30" s="30" t="n">
        <v>12.52</v>
      </c>
      <c r="E30" s="30" t="n">
        <v>12.8</v>
      </c>
      <c r="F30" s="30" t="n">
        <v>13.51</v>
      </c>
      <c r="G30" s="30" t="n">
        <v>23.08</v>
      </c>
      <c r="I30" s="30" t="n">
        <v>9.28</v>
      </c>
      <c r="J30" s="30" t="n">
        <v>17.57</v>
      </c>
    </row>
    <row r="32" customFormat="false" ht="15" hidden="false" customHeight="false" outlineLevel="0" collapsed="false">
      <c r="A32" s="23" t="s">
        <v>133</v>
      </c>
      <c r="B32" s="24"/>
      <c r="C32" s="24"/>
      <c r="D32" s="24"/>
      <c r="E32" s="24"/>
      <c r="F32" s="24"/>
      <c r="G32" s="24"/>
      <c r="I32" s="24"/>
      <c r="J32" s="24"/>
    </row>
    <row r="33" customFormat="false" ht="15" hidden="false" customHeight="false" outlineLevel="0" collapsed="false">
      <c r="A33" s="6" t="s">
        <v>134</v>
      </c>
      <c r="B33" s="4" t="s">
        <v>111</v>
      </c>
      <c r="C33" s="29" t="n">
        <v>49855.053</v>
      </c>
      <c r="D33" s="29" t="n">
        <v>61546.836</v>
      </c>
      <c r="E33" s="29" t="n">
        <v>87455.916</v>
      </c>
      <c r="F33" s="29" t="n">
        <v>117459.25</v>
      </c>
      <c r="G33" s="29" t="n">
        <v>151172.175</v>
      </c>
      <c r="I33" s="29" t="n">
        <v>139527.968</v>
      </c>
      <c r="J33" s="29" t="n">
        <v>182350.204</v>
      </c>
    </row>
    <row r="34" customFormat="false" ht="15" hidden="false" customHeight="false" outlineLevel="0" collapsed="false">
      <c r="A34" s="6" t="s">
        <v>135</v>
      </c>
      <c r="B34" s="4" t="s">
        <v>111</v>
      </c>
      <c r="C34" s="29" t="n">
        <v>1085.729</v>
      </c>
      <c r="D34" s="29" t="n">
        <v>1759.612</v>
      </c>
      <c r="E34" s="29" t="n">
        <v>4904.074</v>
      </c>
      <c r="F34" s="29" t="n">
        <v>4180.276</v>
      </c>
      <c r="G34" s="29" t="n">
        <v>3724.428</v>
      </c>
      <c r="I34" s="29" t="n">
        <v>3697.138</v>
      </c>
      <c r="J34" s="29" t="n">
        <v>3944.461</v>
      </c>
    </row>
    <row r="35" customFormat="false" ht="15" hidden="false" customHeight="false" outlineLevel="0" collapsed="false">
      <c r="A35" s="6" t="s">
        <v>136</v>
      </c>
      <c r="B35" s="4" t="s">
        <v>111</v>
      </c>
      <c r="C35" s="29" t="n">
        <v>0</v>
      </c>
      <c r="D35" s="29" t="n">
        <v>0</v>
      </c>
      <c r="E35" s="29" t="n">
        <v>0</v>
      </c>
      <c r="F35" s="29" t="n">
        <v>0</v>
      </c>
      <c r="G35" s="29" t="n">
        <v>0</v>
      </c>
      <c r="I35" s="29" t="n">
        <v>0</v>
      </c>
      <c r="J35" s="29" t="n">
        <v>0</v>
      </c>
    </row>
    <row r="36" customFormat="false" ht="15" hidden="false" customHeight="false" outlineLevel="0" collapsed="false">
      <c r="A36" s="6" t="s">
        <v>137</v>
      </c>
      <c r="B36" s="4" t="s">
        <v>111</v>
      </c>
      <c r="C36" s="29" t="n">
        <v>327.238</v>
      </c>
      <c r="D36" s="29" t="n">
        <v>265.382</v>
      </c>
      <c r="E36" s="29" t="n">
        <v>259.567</v>
      </c>
      <c r="F36" s="29" t="n">
        <v>153.016</v>
      </c>
      <c r="G36" s="29" t="n">
        <v>216.27</v>
      </c>
      <c r="I36" s="29" t="n">
        <v>124.286</v>
      </c>
      <c r="J36" s="29" t="n">
        <v>304.394</v>
      </c>
    </row>
    <row r="37" customFormat="false" ht="15" hidden="false" customHeight="false" outlineLevel="0" collapsed="false">
      <c r="A37" s="6" t="s">
        <v>138</v>
      </c>
      <c r="B37" s="4" t="s">
        <v>111</v>
      </c>
      <c r="C37" s="29" t="n">
        <v>3589.313</v>
      </c>
      <c r="D37" s="29" t="n">
        <v>4135.672</v>
      </c>
      <c r="E37" s="29" t="n">
        <v>5529.06</v>
      </c>
      <c r="F37" s="29" t="n">
        <v>5849.578</v>
      </c>
      <c r="G37" s="29" t="n">
        <v>6729.264</v>
      </c>
      <c r="I37" s="29" t="n">
        <v>6510.21</v>
      </c>
      <c r="J37" s="29" t="n">
        <v>7217.051</v>
      </c>
    </row>
    <row r="38" customFormat="false" ht="15" hidden="false" customHeight="false" outlineLevel="0" collapsed="false">
      <c r="A38" s="6" t="s">
        <v>139</v>
      </c>
      <c r="B38" s="4" t="s">
        <v>111</v>
      </c>
      <c r="C38" s="29" t="n">
        <v>3420.633</v>
      </c>
      <c r="D38" s="29" t="n">
        <v>3123.642</v>
      </c>
      <c r="E38" s="29" t="n">
        <v>2245.939</v>
      </c>
      <c r="F38" s="29" t="n">
        <v>2428.199</v>
      </c>
      <c r="G38" s="29" t="n">
        <v>2482.652</v>
      </c>
      <c r="I38" s="29" t="n">
        <v>1677.296</v>
      </c>
      <c r="J38" s="29" t="n">
        <v>2935.688</v>
      </c>
    </row>
    <row r="39" customFormat="false" ht="15" hidden="false" customHeight="false" outlineLevel="0" collapsed="false">
      <c r="A39" s="6" t="s">
        <v>140</v>
      </c>
      <c r="B39" s="4" t="s">
        <v>111</v>
      </c>
      <c r="C39" s="29" t="n">
        <v>67436.377</v>
      </c>
      <c r="D39" s="29" t="n">
        <v>84074.069</v>
      </c>
      <c r="E39" s="29" t="n">
        <v>77127.923</v>
      </c>
      <c r="F39" s="29" t="n">
        <v>87480.791</v>
      </c>
      <c r="G39" s="29" t="n">
        <v>119225.016</v>
      </c>
      <c r="I39" s="29" t="n">
        <v>89759.182</v>
      </c>
      <c r="J39" s="29" t="n">
        <v>140007.907</v>
      </c>
    </row>
    <row r="40" customFormat="false" ht="15" hidden="false" customHeight="false" outlineLevel="0" collapsed="false">
      <c r="A40" s="6" t="s">
        <v>141</v>
      </c>
      <c r="B40" s="4" t="s">
        <v>111</v>
      </c>
      <c r="C40" s="29" t="n">
        <v>0</v>
      </c>
      <c r="D40" s="29" t="n">
        <v>0</v>
      </c>
      <c r="E40" s="29" t="n">
        <v>5.801</v>
      </c>
      <c r="F40" s="29" t="n">
        <v>11.511</v>
      </c>
      <c r="G40" s="29" t="n">
        <v>8.896</v>
      </c>
      <c r="I40" s="29" t="n">
        <v>6.675</v>
      </c>
      <c r="J40" s="29" t="n">
        <v>3.179</v>
      </c>
    </row>
    <row r="41" customFormat="false" ht="15" hidden="false" customHeight="false" outlineLevel="0" collapsed="false">
      <c r="A41" s="6" t="s">
        <v>142</v>
      </c>
      <c r="B41" s="4" t="s">
        <v>111</v>
      </c>
      <c r="C41" s="29" t="n">
        <v>66107.351</v>
      </c>
      <c r="D41" s="29" t="n">
        <v>79844.364</v>
      </c>
      <c r="E41" s="29" t="n">
        <v>76226.562</v>
      </c>
      <c r="F41" s="29" t="n">
        <v>83856.341</v>
      </c>
      <c r="G41" s="29" t="n">
        <v>101478.308</v>
      </c>
      <c r="I41" s="29" t="n">
        <v>81529.671</v>
      </c>
      <c r="J41" s="29" t="n">
        <v>139394.174</v>
      </c>
    </row>
    <row r="42" customFormat="false" ht="15" hidden="false" customHeight="false" outlineLevel="0" collapsed="false">
      <c r="A42" s="6" t="s">
        <v>143</v>
      </c>
      <c r="B42" s="4" t="s">
        <v>111</v>
      </c>
      <c r="C42" s="29" t="n">
        <v>196878.194</v>
      </c>
      <c r="D42" s="29" t="n">
        <v>240450.466</v>
      </c>
      <c r="E42" s="29" t="n">
        <v>259958.184</v>
      </c>
      <c r="F42" s="29" t="n">
        <v>310924.848</v>
      </c>
      <c r="G42" s="29" t="n">
        <v>395780.787</v>
      </c>
      <c r="I42" s="29" t="n">
        <v>331615.258</v>
      </c>
      <c r="J42" s="29" t="n">
        <v>487049.6</v>
      </c>
    </row>
    <row r="43" customFormat="false" ht="15" hidden="false" customHeight="false" outlineLevel="0" collapsed="false">
      <c r="A43" s="6" t="s">
        <v>144</v>
      </c>
      <c r="B43" s="4" t="s">
        <v>111</v>
      </c>
      <c r="C43" s="29" t="n">
        <v>3351.798</v>
      </c>
      <c r="D43" s="29" t="n">
        <v>2771.627</v>
      </c>
      <c r="E43" s="29" t="n">
        <v>1367.375</v>
      </c>
      <c r="F43" s="29" t="n">
        <v>1461.913</v>
      </c>
      <c r="G43" s="29" t="n">
        <v>1617.073</v>
      </c>
      <c r="I43" s="29" t="n">
        <v>1517.658</v>
      </c>
      <c r="J43" s="29" t="n">
        <v>3075.782</v>
      </c>
    </row>
    <row r="44" customFormat="false" ht="15" hidden="false" customHeight="false" outlineLevel="0" collapsed="false">
      <c r="A44" s="6" t="s">
        <v>145</v>
      </c>
      <c r="B44" s="4" t="s">
        <v>111</v>
      </c>
      <c r="C44" s="29" t="n">
        <v>1587.843</v>
      </c>
      <c r="D44" s="29" t="n">
        <v>1740.553</v>
      </c>
      <c r="E44" s="29" t="n">
        <v>1995.03</v>
      </c>
      <c r="F44" s="29" t="n">
        <v>2088.104</v>
      </c>
      <c r="G44" s="29" t="n">
        <v>1925.901</v>
      </c>
      <c r="I44" s="29" t="n">
        <v>1750.412</v>
      </c>
      <c r="J44" s="29" t="n">
        <v>4554.83</v>
      </c>
    </row>
    <row r="45" customFormat="false" ht="15" hidden="false" customHeight="false" outlineLevel="0" collapsed="false">
      <c r="A45" s="6" t="s">
        <v>146</v>
      </c>
      <c r="B45" s="4" t="s">
        <v>111</v>
      </c>
      <c r="C45" s="29" t="n">
        <v>0</v>
      </c>
      <c r="D45" s="29" t="n">
        <v>0</v>
      </c>
      <c r="E45" s="29" t="n">
        <v>0</v>
      </c>
      <c r="F45" s="29" t="n">
        <v>0</v>
      </c>
      <c r="G45" s="29" t="n">
        <v>0</v>
      </c>
      <c r="I45" s="29" t="n">
        <v>0</v>
      </c>
      <c r="J45" s="29" t="n">
        <v>0</v>
      </c>
    </row>
    <row r="46" customFormat="false" ht="15" hidden="false" customHeight="false" outlineLevel="0" collapsed="false">
      <c r="A46" s="6" t="s">
        <v>147</v>
      </c>
      <c r="B46" s="4" t="s">
        <v>111</v>
      </c>
      <c r="C46" s="29" t="n">
        <v>63.731</v>
      </c>
      <c r="D46" s="29" t="n">
        <v>92.43</v>
      </c>
      <c r="E46" s="29" t="n">
        <v>99.423</v>
      </c>
      <c r="F46" s="29" t="n">
        <v>233.811</v>
      </c>
      <c r="G46" s="29" t="n">
        <v>380.269</v>
      </c>
      <c r="I46" s="29" t="n">
        <v>222.129</v>
      </c>
      <c r="J46" s="29" t="n">
        <v>357.045</v>
      </c>
    </row>
    <row r="47" customFormat="false" ht="15" hidden="false" customHeight="false" outlineLevel="0" collapsed="false">
      <c r="A47" s="6" t="s">
        <v>148</v>
      </c>
      <c r="B47" s="4" t="s">
        <v>111</v>
      </c>
      <c r="C47" s="29" t="n">
        <v>76607.285</v>
      </c>
      <c r="D47" s="29" t="n">
        <v>86266.587</v>
      </c>
      <c r="E47" s="29" t="n">
        <v>98001.515</v>
      </c>
      <c r="F47" s="29" t="n">
        <v>115710.424</v>
      </c>
      <c r="G47" s="29" t="n">
        <v>142039.843</v>
      </c>
      <c r="I47" s="29" t="n">
        <v>117057.726</v>
      </c>
      <c r="J47" s="29" t="n">
        <v>158397.548</v>
      </c>
    </row>
    <row r="48" customFormat="false" ht="15" hidden="false" customHeight="false" outlineLevel="0" collapsed="false">
      <c r="A48" s="6" t="s">
        <v>149</v>
      </c>
      <c r="B48" s="4" t="s">
        <v>111</v>
      </c>
      <c r="C48" s="29" t="n">
        <v>3006.96</v>
      </c>
      <c r="D48" s="29" t="n">
        <v>5086.323</v>
      </c>
      <c r="E48" s="29" t="n">
        <v>4834.885</v>
      </c>
      <c r="F48" s="29" t="n">
        <v>4511.414</v>
      </c>
      <c r="G48" s="29" t="n">
        <v>4559.183</v>
      </c>
      <c r="I48" s="29" t="n">
        <v>4319.248</v>
      </c>
      <c r="J48" s="29" t="n">
        <v>4903.607</v>
      </c>
    </row>
    <row r="49" customFormat="false" ht="15" hidden="false" customHeight="false" outlineLevel="0" collapsed="false">
      <c r="A49" s="6" t="s">
        <v>150</v>
      </c>
      <c r="B49" s="4" t="s">
        <v>111</v>
      </c>
      <c r="C49" s="29" t="n">
        <v>14.07</v>
      </c>
      <c r="D49" s="29" t="n">
        <v>18.128</v>
      </c>
      <c r="E49" s="29" t="n">
        <v>14.07</v>
      </c>
      <c r="F49" s="29" t="n">
        <v>4718.988</v>
      </c>
      <c r="G49" s="29" t="n">
        <v>2175.655</v>
      </c>
      <c r="I49" s="29" t="n">
        <v>4697.479</v>
      </c>
      <c r="J49" s="29" t="n">
        <v>2165.75</v>
      </c>
    </row>
    <row r="50" customFormat="false" ht="15" hidden="false" customHeight="false" outlineLevel="0" collapsed="false">
      <c r="A50" s="6" t="s">
        <v>151</v>
      </c>
      <c r="B50" s="4" t="s">
        <v>111</v>
      </c>
      <c r="C50" s="29" t="n">
        <v>73609.564</v>
      </c>
      <c r="D50" s="29" t="n">
        <v>77169.854</v>
      </c>
      <c r="E50" s="29" t="n">
        <v>78544.404</v>
      </c>
      <c r="F50" s="29" t="n">
        <v>78782.813</v>
      </c>
      <c r="G50" s="29" t="n">
        <v>75326.273</v>
      </c>
      <c r="I50" s="29" t="n">
        <v>71869.905</v>
      </c>
      <c r="J50" s="29" t="n">
        <v>74962.513</v>
      </c>
    </row>
    <row r="51" customFormat="false" ht="15" hidden="false" customHeight="false" outlineLevel="0" collapsed="false">
      <c r="A51" s="6" t="s">
        <v>152</v>
      </c>
      <c r="B51" s="4" t="s">
        <v>111</v>
      </c>
      <c r="C51" s="29" t="n">
        <v>168234.116</v>
      </c>
      <c r="D51" s="29" t="n">
        <v>185423.34</v>
      </c>
      <c r="E51" s="29" t="n">
        <v>197788.394</v>
      </c>
      <c r="F51" s="29" t="n">
        <v>220972.869</v>
      </c>
      <c r="G51" s="29" t="n">
        <v>243837.813</v>
      </c>
      <c r="I51" s="29" t="n">
        <v>214803.658</v>
      </c>
      <c r="J51" s="29" t="n">
        <v>267383.732</v>
      </c>
    </row>
    <row r="52" customFormat="false" ht="15" hidden="false" customHeight="false" outlineLevel="0" collapsed="false">
      <c r="A52" s="6" t="s">
        <v>153</v>
      </c>
      <c r="B52" s="4" t="s">
        <v>111</v>
      </c>
      <c r="C52" s="29" t="n">
        <v>365112.31</v>
      </c>
      <c r="D52" s="29" t="n">
        <v>425873.806</v>
      </c>
      <c r="E52" s="29" t="n">
        <v>457746.578</v>
      </c>
      <c r="F52" s="29" t="n">
        <v>531897.717</v>
      </c>
      <c r="G52" s="29" t="n">
        <v>639618.6</v>
      </c>
      <c r="I52" s="29" t="n">
        <v>546418.916</v>
      </c>
      <c r="J52" s="29" t="n">
        <v>754433.332</v>
      </c>
    </row>
    <row r="53" customFormat="false" ht="15" hidden="false" customHeight="false" outlineLevel="0" collapsed="false">
      <c r="A53" s="6" t="s">
        <v>154</v>
      </c>
      <c r="B53" s="4" t="s">
        <v>111</v>
      </c>
      <c r="C53" s="29" t="n">
        <v>4397.362</v>
      </c>
      <c r="D53" s="29" t="n">
        <v>2076.762</v>
      </c>
      <c r="E53" s="29" t="n">
        <v>3334.888</v>
      </c>
      <c r="F53" s="29" t="n">
        <v>1917.874</v>
      </c>
      <c r="G53" s="29" t="n">
        <v>2364.109</v>
      </c>
      <c r="I53" s="29" t="n">
        <v>1609.213</v>
      </c>
      <c r="J53" s="29" t="n">
        <v>16301.633</v>
      </c>
    </row>
    <row r="54" customFormat="false" ht="15" hidden="false" customHeight="false" outlineLevel="0" collapsed="false">
      <c r="A54" s="6" t="s">
        <v>155</v>
      </c>
      <c r="B54" s="4" t="s">
        <v>111</v>
      </c>
      <c r="C54" s="29" t="n">
        <v>0.44</v>
      </c>
      <c r="D54" s="29" t="n">
        <v>1.406</v>
      </c>
      <c r="E54" s="29" t="n">
        <v>4.538</v>
      </c>
      <c r="F54" s="29" t="n">
        <v>3.068</v>
      </c>
      <c r="G54" s="29" t="n">
        <v>1.724</v>
      </c>
      <c r="I54" s="29" t="n">
        <v>3.554</v>
      </c>
      <c r="J54" s="29" t="n">
        <v>4.527</v>
      </c>
    </row>
    <row r="55" customFormat="false" ht="15" hidden="false" customHeight="false" outlineLevel="0" collapsed="false">
      <c r="A55" s="6" t="s">
        <v>156</v>
      </c>
      <c r="B55" s="4" t="s">
        <v>111</v>
      </c>
      <c r="C55" s="29" t="n">
        <v>54554.462</v>
      </c>
      <c r="D55" s="29" t="n">
        <v>62685.739</v>
      </c>
      <c r="E55" s="29" t="n">
        <v>53496.221</v>
      </c>
      <c r="F55" s="29" t="n">
        <v>69188.388</v>
      </c>
      <c r="G55" s="29" t="n">
        <v>94410.785</v>
      </c>
      <c r="I55" s="29" t="n">
        <v>69418.511</v>
      </c>
      <c r="J55" s="29" t="n">
        <v>116627.448</v>
      </c>
    </row>
    <row r="56" customFormat="false" ht="15" hidden="false" customHeight="false" outlineLevel="0" collapsed="false">
      <c r="A56" s="6" t="s">
        <v>157</v>
      </c>
      <c r="B56" s="4" t="s">
        <v>111</v>
      </c>
      <c r="C56" s="29" t="n">
        <v>15.023</v>
      </c>
      <c r="D56" s="29" t="n">
        <v>28.525</v>
      </c>
      <c r="E56" s="29" t="n">
        <v>38.185</v>
      </c>
      <c r="F56" s="29" t="n">
        <v>31.795</v>
      </c>
      <c r="G56" s="29" t="n">
        <v>38.998</v>
      </c>
      <c r="I56" s="29" t="n">
        <v>26.06</v>
      </c>
      <c r="J56" s="29" t="n">
        <v>23.086</v>
      </c>
    </row>
    <row r="57" customFormat="false" ht="15" hidden="false" customHeight="false" outlineLevel="0" collapsed="false">
      <c r="A57" s="6" t="s">
        <v>158</v>
      </c>
      <c r="B57" s="4" t="s">
        <v>111</v>
      </c>
      <c r="C57" s="29" t="n">
        <v>0</v>
      </c>
      <c r="D57" s="29" t="n">
        <v>0</v>
      </c>
      <c r="E57" s="29" t="n">
        <v>2539.678</v>
      </c>
      <c r="F57" s="29" t="n">
        <v>6203.089</v>
      </c>
      <c r="G57" s="29" t="n">
        <v>14960.903</v>
      </c>
      <c r="I57" s="29" t="n">
        <v>20196.167</v>
      </c>
      <c r="J57" s="29" t="n">
        <v>6305.263</v>
      </c>
    </row>
    <row r="58" customFormat="false" ht="15" hidden="false" customHeight="false" outlineLevel="0" collapsed="false">
      <c r="A58" s="6" t="s">
        <v>159</v>
      </c>
      <c r="B58" s="4" t="s">
        <v>111</v>
      </c>
      <c r="C58" s="29" t="n">
        <v>0</v>
      </c>
      <c r="D58" s="29" t="n">
        <v>0</v>
      </c>
      <c r="E58" s="29" t="n">
        <v>0</v>
      </c>
      <c r="F58" s="29" t="n">
        <v>0</v>
      </c>
      <c r="G58" s="29" t="n">
        <v>0</v>
      </c>
      <c r="I58" s="29" t="n">
        <v>0</v>
      </c>
      <c r="J58" s="29" t="n">
        <v>0</v>
      </c>
    </row>
    <row r="59" customFormat="false" ht="15" hidden="false" customHeight="false" outlineLevel="0" collapsed="false">
      <c r="A59" s="6" t="s">
        <v>160</v>
      </c>
      <c r="B59" s="4" t="s">
        <v>111</v>
      </c>
      <c r="C59" s="29" t="n">
        <v>108169.477</v>
      </c>
      <c r="D59" s="29" t="n">
        <v>125013.428</v>
      </c>
      <c r="E59" s="29" t="n">
        <v>126084.553</v>
      </c>
      <c r="F59" s="29" t="n">
        <v>152283.126</v>
      </c>
      <c r="G59" s="29" t="n">
        <v>209664.989</v>
      </c>
      <c r="I59" s="29" t="n">
        <v>183955.819</v>
      </c>
      <c r="J59" s="29" t="n">
        <v>304502.192</v>
      </c>
    </row>
    <row r="60" customFormat="false" ht="15" hidden="false" customHeight="false" outlineLevel="0" collapsed="false">
      <c r="A60" s="6" t="s">
        <v>161</v>
      </c>
      <c r="B60" s="4" t="s">
        <v>111</v>
      </c>
      <c r="C60" s="29" t="n">
        <v>0</v>
      </c>
      <c r="D60" s="29" t="n">
        <v>11600</v>
      </c>
      <c r="E60" s="29" t="n">
        <v>29100</v>
      </c>
      <c r="F60" s="29" t="n">
        <v>24100</v>
      </c>
      <c r="G60" s="29" t="n">
        <v>35560.655</v>
      </c>
      <c r="I60" s="29" t="n">
        <v>23445.265</v>
      </c>
      <c r="J60" s="29" t="n">
        <v>30243.71</v>
      </c>
    </row>
    <row r="61" customFormat="false" ht="15" hidden="false" customHeight="false" outlineLevel="0" collapsed="false">
      <c r="A61" s="6" t="s">
        <v>162</v>
      </c>
      <c r="B61" s="4" t="s">
        <v>111</v>
      </c>
      <c r="C61" s="29" t="n">
        <v>43913.787</v>
      </c>
      <c r="D61" s="29" t="n">
        <v>32737.342</v>
      </c>
      <c r="E61" s="29" t="n">
        <v>22320.422</v>
      </c>
      <c r="F61" s="29" t="n">
        <v>32208.906</v>
      </c>
      <c r="G61" s="29" t="n">
        <v>21142.618</v>
      </c>
      <c r="I61" s="29" t="n">
        <v>35203.095</v>
      </c>
      <c r="J61" s="29" t="n">
        <v>17787.634</v>
      </c>
    </row>
    <row r="62" customFormat="false" ht="15" hidden="false" customHeight="false" outlineLevel="0" collapsed="false">
      <c r="A62" s="6" t="s">
        <v>163</v>
      </c>
      <c r="B62" s="4" t="s">
        <v>111</v>
      </c>
      <c r="C62" s="29" t="n">
        <v>1366.401</v>
      </c>
      <c r="D62" s="29" t="n">
        <v>2302.735</v>
      </c>
      <c r="E62" s="29" t="n">
        <v>2555.275</v>
      </c>
      <c r="F62" s="29" t="n">
        <v>2217.571</v>
      </c>
      <c r="G62" s="29" t="n">
        <v>2495.985</v>
      </c>
      <c r="I62" s="29" t="n">
        <v>2377.877</v>
      </c>
      <c r="J62" s="29" t="n">
        <v>2713.736</v>
      </c>
    </row>
    <row r="63" customFormat="false" ht="15" hidden="false" customHeight="false" outlineLevel="0" collapsed="false">
      <c r="A63" s="6" t="s">
        <v>164</v>
      </c>
      <c r="B63" s="4" t="s">
        <v>111</v>
      </c>
      <c r="C63" s="29" t="n">
        <v>70818.175</v>
      </c>
      <c r="D63" s="29" t="n">
        <v>75493.193</v>
      </c>
      <c r="E63" s="29" t="n">
        <v>88926.532</v>
      </c>
      <c r="F63" s="29" t="n">
        <v>100049.255</v>
      </c>
      <c r="G63" s="29" t="n">
        <v>104564.608</v>
      </c>
      <c r="I63" s="29" t="n">
        <v>101565.234</v>
      </c>
      <c r="J63" s="29" t="n">
        <v>99706.248</v>
      </c>
    </row>
    <row r="64" customFormat="false" ht="15" hidden="false" customHeight="false" outlineLevel="0" collapsed="false">
      <c r="A64" s="6" t="s">
        <v>165</v>
      </c>
      <c r="B64" s="4" t="s">
        <v>111</v>
      </c>
      <c r="C64" s="29" t="n">
        <v>178987.652</v>
      </c>
      <c r="D64" s="29" t="n">
        <v>200506.621</v>
      </c>
      <c r="E64" s="29" t="n">
        <v>215011.085</v>
      </c>
      <c r="F64" s="29" t="n">
        <v>252332.381</v>
      </c>
      <c r="G64" s="29" t="n">
        <v>314229.597</v>
      </c>
      <c r="I64" s="29" t="n">
        <v>285521.053</v>
      </c>
      <c r="J64" s="29" t="n">
        <v>404208.44</v>
      </c>
    </row>
    <row r="65" customFormat="false" ht="15" hidden="false" customHeight="false" outlineLevel="0" collapsed="false">
      <c r="A65" s="6" t="s">
        <v>166</v>
      </c>
      <c r="B65" s="4" t="s">
        <v>111</v>
      </c>
      <c r="C65" s="29" t="n">
        <v>25975.433</v>
      </c>
      <c r="D65" s="29" t="n">
        <v>25975.433</v>
      </c>
      <c r="E65" s="29" t="n">
        <v>25975.433</v>
      </c>
      <c r="F65" s="29" t="n">
        <v>25975.433</v>
      </c>
      <c r="G65" s="29" t="n">
        <v>25975.433</v>
      </c>
      <c r="I65" s="29" t="n">
        <v>25975.433</v>
      </c>
      <c r="J65" s="29" t="n">
        <v>25975.433</v>
      </c>
    </row>
    <row r="66" customFormat="false" ht="15" hidden="false" customHeight="false" outlineLevel="0" collapsed="false">
      <c r="A66" s="6" t="s">
        <v>167</v>
      </c>
      <c r="B66" s="4" t="s">
        <v>111</v>
      </c>
      <c r="C66" s="29" t="n">
        <v>154786.522</v>
      </c>
      <c r="D66" s="29" t="n">
        <v>186788.907</v>
      </c>
      <c r="E66" s="29" t="n">
        <v>199163.778</v>
      </c>
      <c r="F66" s="29" t="n">
        <v>230087.286</v>
      </c>
      <c r="G66" s="29" t="n">
        <v>268057.976</v>
      </c>
      <c r="I66" s="29" t="n">
        <v>212197.761</v>
      </c>
      <c r="J66" s="29" t="n">
        <v>293710.74</v>
      </c>
    </row>
    <row r="67" customFormat="false" ht="15" hidden="false" customHeight="false" outlineLevel="0" collapsed="false">
      <c r="A67" s="6" t="s">
        <v>168</v>
      </c>
      <c r="B67" s="4" t="s">
        <v>111</v>
      </c>
      <c r="C67" s="29" t="n">
        <v>31338.136</v>
      </c>
      <c r="D67" s="29" t="n">
        <v>38578.278</v>
      </c>
      <c r="E67" s="29" t="n">
        <v>43571.715</v>
      </c>
      <c r="F67" s="29" t="n">
        <v>49478.05</v>
      </c>
      <c r="G67" s="29" t="n">
        <v>57331.027</v>
      </c>
      <c r="I67" s="29" t="n">
        <v>48700.102</v>
      </c>
      <c r="J67" s="29" t="n">
        <v>56514.152</v>
      </c>
    </row>
    <row r="68" customFormat="false" ht="15" hidden="false" customHeight="false" outlineLevel="0" collapsed="false">
      <c r="A68" s="6" t="s">
        <v>169</v>
      </c>
      <c r="B68" s="4" t="s">
        <v>111</v>
      </c>
      <c r="C68" s="29" t="n">
        <v>186124.658</v>
      </c>
      <c r="D68" s="29" t="n">
        <v>225367.185</v>
      </c>
      <c r="E68" s="29" t="n">
        <v>242735.493</v>
      </c>
      <c r="F68" s="29" t="n">
        <v>279565.336</v>
      </c>
      <c r="G68" s="29" t="n">
        <v>325389.003</v>
      </c>
      <c r="I68" s="29" t="n">
        <v>260897.863</v>
      </c>
      <c r="J68" s="29" t="n">
        <v>350224.892</v>
      </c>
    </row>
    <row r="69" customFormat="false" ht="15" hidden="false" customHeight="false" outlineLevel="0" collapsed="false">
      <c r="A69" s="6" t="s">
        <v>170</v>
      </c>
      <c r="B69" s="4" t="s">
        <v>111</v>
      </c>
      <c r="C69" s="29" t="n">
        <v>0</v>
      </c>
      <c r="D69" s="29" t="n">
        <v>0</v>
      </c>
      <c r="E69" s="29" t="n">
        <v>457746.578</v>
      </c>
      <c r="F69" s="29" t="n">
        <v>531897.717</v>
      </c>
      <c r="G69" s="29" t="n">
        <v>639618.6</v>
      </c>
      <c r="I69" s="29" t="n">
        <v>546418.916</v>
      </c>
      <c r="J69" s="29" t="n">
        <v>754433.332</v>
      </c>
    </row>
    <row r="71" customFormat="false" ht="15" hidden="false" customHeight="false" outlineLevel="0" collapsed="false">
      <c r="A71" s="23" t="s">
        <v>171</v>
      </c>
      <c r="B71" s="24"/>
      <c r="C71" s="24"/>
      <c r="D71" s="24"/>
      <c r="E71" s="24"/>
      <c r="F71" s="24"/>
      <c r="G71" s="24"/>
      <c r="I71" s="24"/>
      <c r="J71" s="24"/>
    </row>
    <row r="72" customFormat="false" ht="15" hidden="false" customHeight="false" outlineLevel="0" collapsed="false">
      <c r="A72" s="6" t="s">
        <v>172</v>
      </c>
      <c r="B72" s="4" t="s">
        <v>111</v>
      </c>
      <c r="C72" s="29" t="n">
        <v>35627.547</v>
      </c>
      <c r="D72" s="29" t="n">
        <v>46065.298</v>
      </c>
      <c r="E72" s="29" t="n">
        <v>48642.111</v>
      </c>
      <c r="F72" s="29" t="n">
        <v>51315.628</v>
      </c>
      <c r="G72" s="29" t="n">
        <v>87865.996</v>
      </c>
      <c r="I72" s="29" t="n">
        <v>35234.087</v>
      </c>
      <c r="J72" s="29" t="n">
        <v>66092.437</v>
      </c>
    </row>
    <row r="73" customFormat="false" ht="15" hidden="false" customHeight="false" outlineLevel="0" collapsed="false">
      <c r="A73" s="6" t="s">
        <v>173</v>
      </c>
      <c r="B73" s="4" t="s">
        <v>111</v>
      </c>
      <c r="C73" s="29" t="n">
        <v>13467.401</v>
      </c>
      <c r="D73" s="29" t="n">
        <v>15020.243</v>
      </c>
      <c r="E73" s="29" t="n">
        <v>17577.068</v>
      </c>
      <c r="F73" s="29" t="n">
        <v>21094.536</v>
      </c>
      <c r="G73" s="29" t="n">
        <v>24022.324</v>
      </c>
      <c r="I73" s="29" t="n">
        <v>11618.541</v>
      </c>
      <c r="J73" s="29" t="n">
        <v>14278.138</v>
      </c>
    </row>
    <row r="74" customFormat="false" ht="15" hidden="false" customHeight="false" outlineLevel="0" collapsed="false">
      <c r="A74" s="6" t="s">
        <v>174</v>
      </c>
      <c r="B74" s="4" t="s">
        <v>111</v>
      </c>
      <c r="C74" s="29" t="n">
        <v>3683.902</v>
      </c>
      <c r="D74" s="29" t="n">
        <v>3915.932</v>
      </c>
      <c r="E74" s="29" t="n">
        <v>4012.685</v>
      </c>
      <c r="F74" s="29" t="n">
        <v>3921.636</v>
      </c>
      <c r="G74" s="29" t="n">
        <v>3816.737</v>
      </c>
      <c r="I74" s="29" t="n">
        <v>1960.472</v>
      </c>
      <c r="J74" s="29" t="n">
        <v>1943.872</v>
      </c>
    </row>
    <row r="75" customFormat="false" ht="15" hidden="false" customHeight="false" outlineLevel="0" collapsed="false">
      <c r="A75" s="6" t="s">
        <v>175</v>
      </c>
      <c r="B75" s="4" t="s">
        <v>111</v>
      </c>
      <c r="C75" s="29" t="n">
        <v>-7683.037</v>
      </c>
      <c r="D75" s="29" t="n">
        <v>-15664.563</v>
      </c>
      <c r="E75" s="29" t="n">
        <v>7245.438</v>
      </c>
      <c r="F75" s="29" t="n">
        <v>-10404.087</v>
      </c>
      <c r="G75" s="29" t="n">
        <v>-31992.341</v>
      </c>
      <c r="I75" s="29" t="n">
        <v>-2524.48</v>
      </c>
      <c r="J75" s="29" t="n">
        <v>-21685.625</v>
      </c>
    </row>
    <row r="76" customFormat="false" ht="15" hidden="false" customHeight="false" outlineLevel="0" collapsed="false">
      <c r="A76" s="6" t="s">
        <v>176</v>
      </c>
      <c r="B76" s="4" t="s">
        <v>111</v>
      </c>
      <c r="C76" s="29" t="n">
        <v>-20873.744</v>
      </c>
      <c r="D76" s="29" t="n">
        <v>-12320.867</v>
      </c>
      <c r="E76" s="29" t="n">
        <v>4132.104</v>
      </c>
      <c r="F76" s="29" t="n">
        <v>-7629.779</v>
      </c>
      <c r="G76" s="29" t="n">
        <v>-17509.757</v>
      </c>
      <c r="I76" s="29" t="n">
        <v>2390.161</v>
      </c>
      <c r="J76" s="29" t="n">
        <v>-37836.259</v>
      </c>
    </row>
    <row r="77" customFormat="false" ht="15" hidden="false" customHeight="false" outlineLevel="0" collapsed="false">
      <c r="A77" s="6" t="s">
        <v>177</v>
      </c>
      <c r="B77" s="4" t="s">
        <v>111</v>
      </c>
      <c r="C77" s="29" t="n">
        <v>7740.285</v>
      </c>
      <c r="D77" s="29" t="n">
        <v>7613.266</v>
      </c>
      <c r="E77" s="29" t="n">
        <v>-9826.389</v>
      </c>
      <c r="F77" s="29" t="n">
        <v>15692.167</v>
      </c>
      <c r="G77" s="29" t="n">
        <v>25200.018</v>
      </c>
      <c r="I77" s="29" t="n">
        <v>230.123</v>
      </c>
      <c r="J77" s="29" t="n">
        <v>22151.921</v>
      </c>
    </row>
    <row r="78" customFormat="false" ht="15" hidden="false" customHeight="false" outlineLevel="0" collapsed="false">
      <c r="A78" s="6" t="s">
        <v>178</v>
      </c>
      <c r="B78" s="4" t="s">
        <v>111</v>
      </c>
      <c r="C78" s="29" t="n">
        <v>-295.484</v>
      </c>
      <c r="D78" s="29" t="n">
        <v>-486.748</v>
      </c>
      <c r="E78" s="29" t="n">
        <v>-952.693</v>
      </c>
      <c r="F78" s="29" t="n">
        <v>-1471.457</v>
      </c>
      <c r="G78" s="29" t="n">
        <v>-1514.99</v>
      </c>
      <c r="I78" s="29" t="n">
        <v>-817.825</v>
      </c>
      <c r="J78" s="29" t="n">
        <v>-770.244</v>
      </c>
    </row>
    <row r="79" customFormat="false" ht="15" hidden="false" customHeight="false" outlineLevel="0" collapsed="false">
      <c r="A79" s="6" t="s">
        <v>179</v>
      </c>
      <c r="B79" s="4" t="s">
        <v>111</v>
      </c>
      <c r="C79" s="29" t="n">
        <v>-5468.923</v>
      </c>
      <c r="D79" s="29" t="n">
        <v>-6109.584</v>
      </c>
      <c r="E79" s="29" t="n">
        <v>-7026.581</v>
      </c>
      <c r="F79" s="29" t="n">
        <v>-8835.807</v>
      </c>
      <c r="G79" s="29" t="n">
        <v>-8982.596</v>
      </c>
      <c r="I79" s="29" t="n">
        <v>-4717.949</v>
      </c>
      <c r="J79" s="29" t="n">
        <v>-9608.76</v>
      </c>
    </row>
    <row r="80" customFormat="false" ht="15" hidden="false" customHeight="false" outlineLevel="0" collapsed="false">
      <c r="A80" s="6" t="s">
        <v>180</v>
      </c>
      <c r="B80" s="4" t="s">
        <v>111</v>
      </c>
      <c r="C80" s="29" t="n">
        <v>28319.366</v>
      </c>
      <c r="D80" s="29" t="n">
        <v>46529.108</v>
      </c>
      <c r="E80" s="29" t="n">
        <v>71086.413</v>
      </c>
      <c r="F80" s="29" t="n">
        <v>72894.957</v>
      </c>
      <c r="G80" s="29" t="n">
        <v>98474.281</v>
      </c>
      <c r="I80" s="29" t="n">
        <v>43593.574</v>
      </c>
      <c r="J80" s="29" t="n">
        <v>63100.603</v>
      </c>
    </row>
    <row r="81" customFormat="false" ht="15" hidden="false" customHeight="false" outlineLevel="0" collapsed="false">
      <c r="A81" s="6" t="s">
        <v>181</v>
      </c>
      <c r="B81" s="4" t="s">
        <v>111</v>
      </c>
      <c r="C81" s="29" t="n">
        <v>-23027.29</v>
      </c>
      <c r="D81" s="29" t="n">
        <v>-21824.042</v>
      </c>
      <c r="E81" s="29" t="n">
        <v>-27829.767</v>
      </c>
      <c r="F81" s="29" t="n">
        <v>-33429.953</v>
      </c>
      <c r="G81" s="29" t="n">
        <v>-45722.154</v>
      </c>
      <c r="I81" s="29" t="n">
        <v>-19041.227</v>
      </c>
      <c r="J81" s="29" t="n">
        <v>-27252.368</v>
      </c>
    </row>
    <row r="82" customFormat="false" ht="15" hidden="false" customHeight="false" outlineLevel="0" collapsed="false">
      <c r="A82" s="6" t="s">
        <v>182</v>
      </c>
      <c r="B82" s="4" t="s">
        <v>111</v>
      </c>
      <c r="C82" s="29" t="n">
        <v>212.445</v>
      </c>
      <c r="D82" s="29" t="n">
        <v>843.099</v>
      </c>
      <c r="E82" s="29" t="n">
        <v>51.934</v>
      </c>
      <c r="F82" s="29" t="n">
        <v>50.167</v>
      </c>
      <c r="G82" s="29" t="n">
        <v>141.76</v>
      </c>
      <c r="I82" s="29" t="n">
        <v>22.601</v>
      </c>
      <c r="J82" s="29" t="n">
        <v>38.154</v>
      </c>
    </row>
    <row r="83" customFormat="false" ht="15" hidden="false" customHeight="false" outlineLevel="0" collapsed="false">
      <c r="A83" s="6" t="s">
        <v>183</v>
      </c>
      <c r="B83" s="4" t="s">
        <v>111</v>
      </c>
      <c r="C83" s="29" t="n">
        <v>-1300.978</v>
      </c>
      <c r="D83" s="29" t="n">
        <v>-615.536</v>
      </c>
      <c r="E83" s="29" t="n">
        <v>-469.89</v>
      </c>
      <c r="F83" s="29" t="n">
        <v>-1644.428</v>
      </c>
      <c r="G83" s="29" t="n">
        <v>-1430.633</v>
      </c>
      <c r="I83" s="29" t="n">
        <v>-1024.771</v>
      </c>
      <c r="J83" s="29" t="n">
        <v>-564.395</v>
      </c>
    </row>
    <row r="84" customFormat="false" ht="15" hidden="false" customHeight="false" outlineLevel="0" collapsed="false">
      <c r="A84" s="6" t="s">
        <v>184</v>
      </c>
      <c r="B84" s="4" t="s">
        <v>111</v>
      </c>
      <c r="C84" s="29" t="n">
        <v>-2874.959</v>
      </c>
      <c r="D84" s="29" t="n">
        <v>-2625.458</v>
      </c>
      <c r="E84" s="29" t="n">
        <v>-5629.812</v>
      </c>
      <c r="F84" s="29" t="n">
        <v>0</v>
      </c>
      <c r="G84" s="29" t="n">
        <v>-2107.562</v>
      </c>
      <c r="I84" s="29" t="n">
        <v>0</v>
      </c>
      <c r="J84" s="29" t="n">
        <v>-762.405</v>
      </c>
    </row>
    <row r="85" customFormat="false" ht="15" hidden="false" customHeight="false" outlineLevel="0" collapsed="false">
      <c r="A85" s="6" t="s">
        <v>185</v>
      </c>
      <c r="B85" s="4" t="s">
        <v>111</v>
      </c>
      <c r="C85" s="29" t="n">
        <v>-26481.259</v>
      </c>
      <c r="D85" s="29" t="n">
        <v>-24719.243</v>
      </c>
      <c r="E85" s="29" t="n">
        <v>-33501.693</v>
      </c>
      <c r="F85" s="29" t="n">
        <v>-40360.023</v>
      </c>
      <c r="G85" s="29" t="n">
        <v>-53214.206</v>
      </c>
      <c r="I85" s="29" t="n">
        <v>-22248.95</v>
      </c>
      <c r="J85" s="29" t="n">
        <v>-30282.455</v>
      </c>
    </row>
    <row r="86" customFormat="false" ht="15" hidden="false" customHeight="false" outlineLevel="0" collapsed="false">
      <c r="A86" s="6" t="s">
        <v>186</v>
      </c>
      <c r="B86" s="4" t="s">
        <v>111</v>
      </c>
      <c r="C86" s="29" t="n">
        <v>2395.83</v>
      </c>
      <c r="D86" s="29" t="n">
        <v>-2320.6</v>
      </c>
      <c r="E86" s="29" t="n">
        <v>874.114</v>
      </c>
      <c r="F86" s="29" t="n">
        <v>-1417.014</v>
      </c>
      <c r="G86" s="29" t="n">
        <v>446.235</v>
      </c>
      <c r="I86" s="29" t="n">
        <v>-308.661</v>
      </c>
      <c r="J86" s="29" t="n">
        <v>13936.983</v>
      </c>
    </row>
    <row r="87" customFormat="false" ht="15" hidden="false" customHeight="false" outlineLevel="0" collapsed="false">
      <c r="A87" s="6" t="s">
        <v>187</v>
      </c>
      <c r="B87" s="4" t="s">
        <v>111</v>
      </c>
      <c r="C87" s="29" t="n">
        <v>0</v>
      </c>
      <c r="D87" s="29" t="n">
        <v>11600</v>
      </c>
      <c r="E87" s="29" t="n">
        <v>17500</v>
      </c>
      <c r="F87" s="29" t="n">
        <v>0</v>
      </c>
      <c r="G87" s="29" t="n">
        <v>27590.987</v>
      </c>
      <c r="I87" s="29" t="n">
        <v>17090.987</v>
      </c>
      <c r="J87" s="29" t="n">
        <v>0</v>
      </c>
    </row>
    <row r="88" customFormat="false" ht="15" hidden="false" customHeight="false" outlineLevel="0" collapsed="false">
      <c r="A88" s="6" t="s">
        <v>188</v>
      </c>
      <c r="B88" s="4" t="s">
        <v>111</v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-5000</v>
      </c>
      <c r="I88" s="29" t="n">
        <v>0</v>
      </c>
      <c r="J88" s="29" t="n">
        <v>-14000</v>
      </c>
    </row>
    <row r="89" customFormat="false" ht="15" hidden="false" customHeight="false" outlineLevel="0" collapsed="false">
      <c r="A89" s="6" t="s">
        <v>189</v>
      </c>
      <c r="B89" s="4" t="s">
        <v>111</v>
      </c>
      <c r="C89" s="29" t="n">
        <v>40067.024</v>
      </c>
      <c r="D89" s="29" t="n">
        <v>61464.441</v>
      </c>
      <c r="E89" s="29" t="n">
        <v>66150.386</v>
      </c>
      <c r="F89" s="29" t="n">
        <v>82608.465</v>
      </c>
      <c r="G89" s="29" t="n">
        <v>83993.196</v>
      </c>
      <c r="I89" s="29" t="n">
        <v>43691.582</v>
      </c>
      <c r="J89" s="29" t="n">
        <v>12891.087</v>
      </c>
    </row>
    <row r="90" customFormat="false" ht="15" hidden="false" customHeight="false" outlineLevel="0" collapsed="false">
      <c r="A90" s="6" t="s">
        <v>190</v>
      </c>
      <c r="B90" s="4" t="s">
        <v>111</v>
      </c>
      <c r="C90" s="29" t="n">
        <v>-35470.219</v>
      </c>
      <c r="D90" s="29" t="n">
        <v>-72643.587</v>
      </c>
      <c r="E90" s="29" t="n">
        <v>-74197.912</v>
      </c>
      <c r="F90" s="29" t="n">
        <v>-74056.57</v>
      </c>
      <c r="G90" s="29" t="n">
        <v>-95301.67</v>
      </c>
      <c r="I90" s="29" t="n">
        <v>-40704.315</v>
      </c>
      <c r="J90" s="29" t="n">
        <v>-16832.243</v>
      </c>
    </row>
    <row r="91" customFormat="false" ht="15" hidden="false" customHeight="false" outlineLevel="0" collapsed="false">
      <c r="A91" s="6" t="s">
        <v>191</v>
      </c>
      <c r="B91" s="4" t="s">
        <v>111</v>
      </c>
      <c r="C91" s="29" t="n">
        <v>-541.768</v>
      </c>
      <c r="D91" s="29" t="n">
        <v>-1940.165</v>
      </c>
      <c r="E91" s="29" t="n">
        <v>-816.154</v>
      </c>
      <c r="F91" s="29" t="n">
        <v>-623.183</v>
      </c>
      <c r="G91" s="29" t="n">
        <v>-882.728</v>
      </c>
      <c r="I91" s="29" t="n">
        <v>-575.211</v>
      </c>
      <c r="J91" s="29" t="n">
        <v>-434.197</v>
      </c>
    </row>
    <row r="92" customFormat="false" ht="15" hidden="false" customHeight="false" outlineLevel="0" collapsed="false">
      <c r="A92" s="6" t="s">
        <v>192</v>
      </c>
      <c r="B92" s="4" t="s">
        <v>111</v>
      </c>
      <c r="C92" s="29" t="n">
        <v>-14286.48</v>
      </c>
      <c r="D92" s="29" t="n">
        <v>-14286.479</v>
      </c>
      <c r="E92" s="29" t="n">
        <v>-25559.802</v>
      </c>
      <c r="F92" s="29" t="n">
        <v>-16702.171</v>
      </c>
      <c r="G92" s="29" t="n">
        <v>-18182.803</v>
      </c>
      <c r="I92" s="29" t="n">
        <v>0</v>
      </c>
      <c r="J92" s="29" t="n">
        <v>0</v>
      </c>
    </row>
    <row r="93" customFormat="false" ht="15" hidden="false" customHeight="false" outlineLevel="0" collapsed="false">
      <c r="A93" s="6" t="s">
        <v>193</v>
      </c>
      <c r="B93" s="4" t="s">
        <v>111</v>
      </c>
      <c r="C93" s="29" t="n">
        <v>-1464.506</v>
      </c>
      <c r="D93" s="29" t="n">
        <v>-739.023</v>
      </c>
      <c r="E93" s="29" t="n">
        <v>-1895.556</v>
      </c>
      <c r="F93" s="29" t="n">
        <v>-1993.839</v>
      </c>
      <c r="G93" s="29" t="n">
        <v>-2129.914</v>
      </c>
      <c r="I93" s="29" t="n">
        <v>-2043.802</v>
      </c>
      <c r="J93" s="29" t="n">
        <v>-2725.886</v>
      </c>
    </row>
    <row r="94" customFormat="false" ht="15" hidden="false" customHeight="false" outlineLevel="0" collapsed="false">
      <c r="A94" s="6" t="s">
        <v>194</v>
      </c>
      <c r="B94" s="4" t="s">
        <v>111</v>
      </c>
      <c r="C94" s="29" t="n">
        <v>-8336.86</v>
      </c>
      <c r="D94" s="29" t="n">
        <v>-19739.172</v>
      </c>
      <c r="E94" s="29" t="n">
        <v>-10478.062</v>
      </c>
      <c r="F94" s="29" t="n">
        <v>-11117.582</v>
      </c>
      <c r="G94" s="29" t="n">
        <v>-9401.397</v>
      </c>
      <c r="I94" s="29" t="n">
        <v>17193.906</v>
      </c>
      <c r="J94" s="29" t="n">
        <v>-2619.624</v>
      </c>
    </row>
    <row r="95" customFormat="false" ht="15" hidden="false" customHeight="false" outlineLevel="0" collapsed="false">
      <c r="A95" s="6" t="s">
        <v>195</v>
      </c>
      <c r="B95" s="4" t="s">
        <v>111</v>
      </c>
      <c r="C95" s="29" t="n">
        <v>-2358.179</v>
      </c>
      <c r="D95" s="29" t="n">
        <v>9621.09</v>
      </c>
      <c r="E95" s="29" t="n">
        <v>-1197.578</v>
      </c>
      <c r="F95" s="29" t="n">
        <v>8585.982</v>
      </c>
      <c r="G95" s="29" t="n">
        <v>-2145.753</v>
      </c>
      <c r="I95" s="29" t="n">
        <v>-16469.812</v>
      </c>
      <c r="J95" s="29" t="n">
        <v>979.505</v>
      </c>
    </row>
    <row r="96" customFormat="false" ht="15" hidden="false" customHeight="false" outlineLevel="0" collapsed="false">
      <c r="A96" s="6" t="s">
        <v>196</v>
      </c>
      <c r="B96" s="4" t="s">
        <v>111</v>
      </c>
      <c r="C96" s="29" t="n">
        <v>-8856.932</v>
      </c>
      <c r="D96" s="29" t="n">
        <v>11691.783</v>
      </c>
      <c r="E96" s="29" t="n">
        <v>25909.08</v>
      </c>
      <c r="F96" s="29" t="n">
        <v>30003.334</v>
      </c>
      <c r="G96" s="29" t="n">
        <v>33712.925</v>
      </c>
      <c r="I96" s="29" t="n">
        <v>22068.718</v>
      </c>
      <c r="J96" s="29" t="n">
        <v>31178.029</v>
      </c>
    </row>
    <row r="97" customFormat="false" ht="15" hidden="false" customHeight="false" outlineLevel="0" collapsed="false">
      <c r="A97" s="6" t="s">
        <v>197</v>
      </c>
      <c r="B97" s="4" t="s">
        <v>111</v>
      </c>
      <c r="C97" s="29" t="n">
        <v>58711.985</v>
      </c>
      <c r="D97" s="29" t="n">
        <v>49855.053</v>
      </c>
      <c r="E97" s="29" t="n">
        <v>61546.836</v>
      </c>
      <c r="F97" s="29" t="n">
        <v>87455.916</v>
      </c>
      <c r="G97" s="29" t="n">
        <v>117459.25</v>
      </c>
      <c r="I97" s="29" t="n">
        <v>117459.25</v>
      </c>
      <c r="J97" s="29" t="n">
        <v>151172.175</v>
      </c>
    </row>
    <row r="98" customFormat="false" ht="15" hidden="false" customHeight="false" outlineLevel="0" collapsed="false">
      <c r="A98" s="6" t="s">
        <v>198</v>
      </c>
      <c r="B98" s="4" t="s">
        <v>111</v>
      </c>
      <c r="C98" s="29" t="n">
        <v>49855.053</v>
      </c>
      <c r="D98" s="29" t="n">
        <v>61546.836</v>
      </c>
      <c r="E98" s="29" t="n">
        <v>87455.916</v>
      </c>
      <c r="F98" s="29" t="n">
        <v>117459.25</v>
      </c>
      <c r="G98" s="29" t="n">
        <v>151172.175</v>
      </c>
      <c r="I98" s="29" t="n">
        <v>139527.968</v>
      </c>
      <c r="J98" s="29" t="n">
        <v>182350.204</v>
      </c>
    </row>
    <row r="100" customFormat="false" ht="15" hidden="false" customHeight="false" outlineLevel="0" collapsed="false">
      <c r="A100" s="23" t="s">
        <v>199</v>
      </c>
      <c r="B100" s="24"/>
      <c r="C100" s="24"/>
      <c r="D100" s="24"/>
      <c r="E100" s="24"/>
      <c r="F100" s="24"/>
      <c r="G100" s="24"/>
      <c r="I100" s="24"/>
      <c r="J100" s="24"/>
    </row>
    <row r="101" customFormat="false" ht="15" hidden="false" customHeight="false" outlineLevel="0" collapsed="false">
      <c r="A101" s="6" t="s">
        <v>200</v>
      </c>
      <c r="B101" s="4" t="s">
        <v>201</v>
      </c>
      <c r="C101" s="30" t="n">
        <v>10</v>
      </c>
      <c r="D101" s="30" t="n">
        <v>10</v>
      </c>
      <c r="E101" s="30" t="n">
        <v>10</v>
      </c>
      <c r="F101" s="30" t="n">
        <v>10</v>
      </c>
      <c r="G101" s="30" t="n">
        <v>10</v>
      </c>
      <c r="I101" s="30" t="n">
        <v>10</v>
      </c>
      <c r="J101" s="30" t="n">
        <v>10</v>
      </c>
    </row>
    <row r="102" customFormat="false" ht="15" hidden="false" customHeight="false" outlineLevel="0" collapsed="false">
      <c r="A102" s="6" t="s">
        <v>202</v>
      </c>
      <c r="B102" s="4" t="s">
        <v>203</v>
      </c>
      <c r="C102" s="31" t="n">
        <v>422</v>
      </c>
    </row>
    <row r="103" customFormat="false" ht="15" hidden="false" customHeight="false" outlineLevel="0" collapsed="false">
      <c r="A103" s="6" t="s">
        <v>204</v>
      </c>
      <c r="B103" s="4" t="s">
        <v>203</v>
      </c>
      <c r="C103" s="31" t="n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7" min="3" style="1" width="12"/>
    <col collapsed="false" customWidth="true" hidden="false" outlineLevel="0" max="8" min="8" style="1" width="3"/>
    <col collapsed="false" customWidth="true" hidden="false" outlineLevel="0" max="10" min="9" style="1" width="12"/>
  </cols>
  <sheetData>
    <row r="1" customFormat="false" ht="17.35" hidden="false" customHeight="false" outlineLevel="0" collapsed="false">
      <c r="A1" s="18" t="s">
        <v>205</v>
      </c>
    </row>
    <row r="2" customFormat="false" ht="15" hidden="false" customHeight="false" outlineLevel="0" collapsed="false">
      <c r="A2" s="19" t="s">
        <v>206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6"/>
      <c r="I4" s="19" t="s">
        <v>105</v>
      </c>
    </row>
    <row r="5" customFormat="false" ht="15" hidden="false" customHeight="false" outlineLevel="0" collapsed="false">
      <c r="A5" s="21" t="s">
        <v>57</v>
      </c>
      <c r="B5" s="21" t="s">
        <v>58</v>
      </c>
      <c r="C5" s="12" t="s">
        <v>59</v>
      </c>
      <c r="D5" s="12" t="s">
        <v>60</v>
      </c>
      <c r="E5" s="12" t="s">
        <v>26</v>
      </c>
      <c r="F5" s="12" t="s">
        <v>27</v>
      </c>
      <c r="G5" s="12" t="s">
        <v>28</v>
      </c>
      <c r="I5" s="12" t="s">
        <v>106</v>
      </c>
      <c r="J5" s="12" t="s">
        <v>29</v>
      </c>
    </row>
    <row r="6" customFormat="false" ht="15" hidden="false" customHeight="false" outlineLevel="0" collapsed="false"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  <c r="I6" s="22" t="s">
        <v>107</v>
      </c>
      <c r="J6" s="22" t="s">
        <v>108</v>
      </c>
    </row>
    <row r="8" customFormat="false" ht="15" hidden="false" customHeight="false" outlineLevel="0" collapsed="false">
      <c r="A8" s="23" t="s">
        <v>207</v>
      </c>
      <c r="B8" s="24"/>
      <c r="C8" s="24"/>
      <c r="D8" s="24"/>
      <c r="E8" s="24"/>
      <c r="F8" s="24"/>
      <c r="G8" s="24"/>
      <c r="I8" s="24"/>
      <c r="J8" s="24"/>
    </row>
    <row r="9" customFormat="false" ht="15" hidden="false" customHeight="false" outlineLevel="0" collapsed="false">
      <c r="A9" s="6" t="s">
        <v>69</v>
      </c>
      <c r="B9" s="4" t="s">
        <v>208</v>
      </c>
      <c r="C9" s="29" t="n">
        <v>187316.91</v>
      </c>
      <c r="D9" s="29" t="n">
        <v>227324.556</v>
      </c>
      <c r="E9" s="29" t="n">
        <v>203983.323</v>
      </c>
      <c r="F9" s="29" t="n">
        <v>223567.218</v>
      </c>
      <c r="G9" s="29" t="n">
        <v>280031.634</v>
      </c>
      <c r="I9" s="29" t="n">
        <v>124017.977</v>
      </c>
      <c r="J9" s="29" t="n">
        <v>181918.726</v>
      </c>
    </row>
    <row r="10" customFormat="false" ht="15" hidden="false" customHeight="false" outlineLevel="0" collapsed="false">
      <c r="A10" s="6" t="s">
        <v>71</v>
      </c>
      <c r="B10" s="4" t="s">
        <v>208</v>
      </c>
      <c r="C10" s="29" t="n">
        <v>81079.663</v>
      </c>
      <c r="D10" s="29" t="n">
        <v>102135.297</v>
      </c>
      <c r="E10" s="29" t="n">
        <v>98193.701</v>
      </c>
      <c r="F10" s="29" t="n">
        <v>100225.354</v>
      </c>
      <c r="G10" s="29" t="n">
        <v>181995.608</v>
      </c>
      <c r="I10" s="29" t="n">
        <v>70058.637</v>
      </c>
      <c r="J10" s="29" t="n">
        <v>114273.581</v>
      </c>
    </row>
    <row r="11" customFormat="false" ht="15" hidden="false" customHeight="false" outlineLevel="0" collapsed="false">
      <c r="A11" s="6" t="s">
        <v>72</v>
      </c>
      <c r="B11" s="4" t="s">
        <v>208</v>
      </c>
      <c r="C11" s="29" t="n">
        <v>45881.397</v>
      </c>
      <c r="D11" s="29" t="n">
        <v>54519.22</v>
      </c>
      <c r="E11" s="29" t="n">
        <v>54295.479</v>
      </c>
      <c r="F11" s="29" t="n">
        <v>52403.355</v>
      </c>
      <c r="G11" s="29" t="n">
        <v>54942.759</v>
      </c>
      <c r="I11" s="29" t="n">
        <v>27222.759</v>
      </c>
      <c r="J11" s="29" t="n">
        <v>29890.867</v>
      </c>
    </row>
    <row r="12" customFormat="false" ht="15" hidden="false" customHeight="false" outlineLevel="0" collapsed="false">
      <c r="A12" s="6" t="s">
        <v>73</v>
      </c>
      <c r="B12" s="4" t="s">
        <v>209</v>
      </c>
      <c r="E12" s="29" t="n">
        <v>44278.112</v>
      </c>
      <c r="F12" s="29" t="n">
        <v>44055.115</v>
      </c>
      <c r="G12" s="29" t="n">
        <v>37011.276</v>
      </c>
      <c r="I12" s="29" t="n">
        <v>21344.282</v>
      </c>
      <c r="J12" s="29" t="n">
        <v>16008.867</v>
      </c>
    </row>
    <row r="13" customFormat="false" ht="15" hidden="false" customHeight="false" outlineLevel="0" collapsed="false">
      <c r="A13" s="6" t="s">
        <v>210</v>
      </c>
      <c r="B13" s="4" t="s">
        <v>211</v>
      </c>
      <c r="C13" s="32" t="n">
        <f aca="false">IS!C9-SUM(C9:C12)</f>
        <v>392.826000000001</v>
      </c>
      <c r="D13" s="32" t="n">
        <f aca="false">IS!D9-SUM(D9:D12)</f>
        <v>464.234999999986</v>
      </c>
      <c r="E13" s="32" t="n">
        <f aca="false">IS!E9-SUM(E9:E12)</f>
        <v>475.885999999999</v>
      </c>
      <c r="F13" s="32" t="n">
        <f aca="false">IS!F9-SUM(F9:F12)</f>
        <v>896.514999999956</v>
      </c>
      <c r="G13" s="32" t="n">
        <f aca="false">IS!G9-SUM(G9:G12)</f>
        <v>903.890999999945</v>
      </c>
      <c r="I13" s="32" t="n">
        <f aca="false">IS!I9-SUM(I9:I12)</f>
        <v>310.837</v>
      </c>
      <c r="J13" s="32" t="n">
        <f aca="false">IS!J9-SUM(J9:J12)</f>
        <v>516.690999999992</v>
      </c>
    </row>
    <row r="14" customFormat="false" ht="15" hidden="false" customHeight="false" outlineLevel="0" collapsed="false">
      <c r="A14" s="5" t="s">
        <v>212</v>
      </c>
      <c r="C14" s="33" t="n">
        <f aca="false">SUM(C9:C13)</f>
        <v>314670.796</v>
      </c>
      <c r="D14" s="33" t="n">
        <f aca="false">SUM(D9:D13)</f>
        <v>384443.308</v>
      </c>
      <c r="E14" s="33" t="n">
        <f aca="false">SUM(E9:E13)</f>
        <v>401226.501</v>
      </c>
      <c r="F14" s="33" t="n">
        <f aca="false">SUM(F9:F13)</f>
        <v>421147.557</v>
      </c>
      <c r="G14" s="33" t="n">
        <f aca="false">SUM(G9:G13)</f>
        <v>554885.168</v>
      </c>
      <c r="I14" s="33" t="n">
        <f aca="false">SUM(I9:I13)</f>
        <v>242954.492</v>
      </c>
      <c r="J14" s="33" t="n">
        <f aca="false">SUM(J9:J13)</f>
        <v>342608.732</v>
      </c>
    </row>
    <row r="16" customFormat="false" ht="15" hidden="false" customHeight="false" outlineLevel="0" collapsed="false">
      <c r="A16" s="23" t="s">
        <v>213</v>
      </c>
      <c r="B16" s="24"/>
      <c r="C16" s="24"/>
      <c r="D16" s="24"/>
      <c r="E16" s="24"/>
      <c r="F16" s="24"/>
      <c r="G16" s="24"/>
      <c r="I16" s="24"/>
      <c r="J16" s="24"/>
    </row>
    <row r="17" customFormat="false" ht="15" hidden="false" customHeight="false" outlineLevel="0" collapsed="false">
      <c r="A17" s="6" t="s">
        <v>69</v>
      </c>
      <c r="B17" s="4" t="s">
        <v>208</v>
      </c>
      <c r="C17" s="29" t="n">
        <v>21443.466</v>
      </c>
      <c r="D17" s="29" t="n">
        <v>32129.078</v>
      </c>
      <c r="E17" s="29" t="n">
        <v>34514.792</v>
      </c>
      <c r="F17" s="29" t="n">
        <v>40993.404</v>
      </c>
      <c r="G17" s="29" t="n">
        <v>56181.417</v>
      </c>
      <c r="I17" s="29" t="n">
        <v>23571.797</v>
      </c>
      <c r="J17" s="29" t="n">
        <v>39007.837</v>
      </c>
    </row>
    <row r="18" customFormat="false" ht="15" hidden="false" customHeight="false" outlineLevel="0" collapsed="false">
      <c r="A18" s="6" t="s">
        <v>71</v>
      </c>
      <c r="B18" s="4" t="s">
        <v>208</v>
      </c>
      <c r="C18" s="29" t="n">
        <v>4945.086</v>
      </c>
      <c r="D18" s="29" t="n">
        <v>6162.619</v>
      </c>
      <c r="E18" s="29" t="n">
        <v>3942.878</v>
      </c>
      <c r="F18" s="29" t="n">
        <v>5529.801</v>
      </c>
      <c r="G18" s="29" t="n">
        <v>28388.614</v>
      </c>
      <c r="I18" s="29" t="n">
        <v>8867.555</v>
      </c>
      <c r="J18" s="29" t="n">
        <v>21444.51</v>
      </c>
    </row>
    <row r="19" customFormat="false" ht="15" hidden="false" customHeight="false" outlineLevel="0" collapsed="false">
      <c r="A19" s="6" t="s">
        <v>72</v>
      </c>
      <c r="B19" s="4" t="s">
        <v>208</v>
      </c>
      <c r="C19" s="29" t="n">
        <v>4976.189</v>
      </c>
      <c r="D19" s="29" t="n">
        <v>3147.127</v>
      </c>
      <c r="E19" s="29" t="n">
        <v>1455.053</v>
      </c>
      <c r="F19" s="29" t="n">
        <v>919.219</v>
      </c>
      <c r="G19" s="29" t="n">
        <v>556.149</v>
      </c>
      <c r="I19" s="29" t="n">
        <v>669.363</v>
      </c>
      <c r="J19" s="29" t="n">
        <v>-334.243</v>
      </c>
    </row>
    <row r="20" customFormat="false" ht="15" hidden="false" customHeight="false" outlineLevel="0" collapsed="false">
      <c r="A20" s="6" t="s">
        <v>73</v>
      </c>
      <c r="B20" s="4" t="s">
        <v>208</v>
      </c>
      <c r="E20" s="29" t="n">
        <v>1037.114</v>
      </c>
      <c r="F20" s="29" t="n">
        <v>209.344</v>
      </c>
      <c r="G20" s="29" t="n">
        <v>-1194.106</v>
      </c>
      <c r="I20" s="29" t="n">
        <v>-403.941</v>
      </c>
      <c r="J20" s="29" t="n">
        <v>-1130.759</v>
      </c>
    </row>
    <row r="21" customFormat="false" ht="15" hidden="false" customHeight="false" outlineLevel="0" collapsed="false">
      <c r="A21" s="5" t="s">
        <v>214</v>
      </c>
      <c r="B21" s="4" t="s">
        <v>215</v>
      </c>
      <c r="C21" s="33" t="n">
        <f aca="false">SUM(C17:C20)</f>
        <v>31364.741</v>
      </c>
      <c r="D21" s="33" t="n">
        <f aca="false">SUM(D17:D20)</f>
        <v>41438.824</v>
      </c>
      <c r="E21" s="33" t="n">
        <f aca="false">SUM(E17:E20)</f>
        <v>40949.837</v>
      </c>
      <c r="F21" s="33" t="n">
        <f aca="false">SUM(F17:F20)</f>
        <v>47651.768</v>
      </c>
      <c r="G21" s="33" t="n">
        <f aca="false">SUM(G17:G20)</f>
        <v>83932.074</v>
      </c>
      <c r="I21" s="33" t="n">
        <f aca="false">SUM(I17:I20)</f>
        <v>32704.774</v>
      </c>
      <c r="J21" s="33" t="n">
        <f aca="false">SUM(J17:J20)</f>
        <v>58987.345</v>
      </c>
    </row>
    <row r="23" customFormat="false" ht="15" hidden="false" customHeight="false" outlineLevel="0" collapsed="false">
      <c r="A23" s="23" t="s">
        <v>216</v>
      </c>
      <c r="B23" s="24"/>
      <c r="C23" s="24"/>
      <c r="D23" s="24"/>
      <c r="E23" s="24"/>
      <c r="F23" s="24"/>
      <c r="G23" s="24"/>
      <c r="I23" s="24"/>
      <c r="J23" s="24"/>
    </row>
    <row r="24" customFormat="false" ht="15" hidden="false" customHeight="false" outlineLevel="0" collapsed="false">
      <c r="A24" s="6" t="s">
        <v>69</v>
      </c>
      <c r="D24" s="25" t="n">
        <f aca="false">D9/C9-1</f>
        <v>0.21358267120678</v>
      </c>
      <c r="F24" s="25" t="n">
        <f aca="false">F9/E9-1</f>
        <v>0.0960073338936633</v>
      </c>
      <c r="G24" s="25" t="n">
        <f aca="false">G9/F9-1</f>
        <v>0.252561249834043</v>
      </c>
      <c r="J24" s="25" t="n">
        <f aca="false">J9/I9-1</f>
        <v>0.46687383878226</v>
      </c>
    </row>
    <row r="25" customFormat="false" ht="15" hidden="false" customHeight="false" outlineLevel="0" collapsed="false">
      <c r="A25" s="6" t="s">
        <v>71</v>
      </c>
      <c r="D25" s="25" t="n">
        <f aca="false">D10/C10-1</f>
        <v>0.259690694570351</v>
      </c>
      <c r="E25" s="25" t="n">
        <f aca="false">E10/D10-1</f>
        <v>-0.038591908143176</v>
      </c>
      <c r="F25" s="25" t="n">
        <f aca="false">F10/E10-1</f>
        <v>0.0206902579219415</v>
      </c>
      <c r="G25" s="25" t="n">
        <f aca="false">G10/F10-1</f>
        <v>0.815863957936232</v>
      </c>
      <c r="J25" s="25" t="n">
        <f aca="false">J10/I10-1</f>
        <v>0.63111339148662</v>
      </c>
    </row>
    <row r="26" customFormat="false" ht="15" hidden="false" customHeight="false" outlineLevel="0" collapsed="false">
      <c r="A26" s="6" t="s">
        <v>72</v>
      </c>
      <c r="D26" s="25" t="n">
        <f aca="false">D11/C11-1</f>
        <v>0.188264167283311</v>
      </c>
      <c r="E26" s="25" t="n">
        <f aca="false">E11/D11-1</f>
        <v>-0.00410389216867013</v>
      </c>
      <c r="F26" s="25" t="n">
        <f aca="false">F11/E11-1</f>
        <v>-0.0348486473431793</v>
      </c>
      <c r="G26" s="25" t="n">
        <f aca="false">G11/F11-1</f>
        <v>0.0484588057386783</v>
      </c>
      <c r="J26" s="25" t="n">
        <f aca="false">J11/I11-1</f>
        <v>0.0980101980111567</v>
      </c>
    </row>
    <row r="27" customFormat="false" ht="15" hidden="false" customHeight="false" outlineLevel="0" collapsed="false">
      <c r="A27" s="6" t="s">
        <v>73</v>
      </c>
      <c r="F27" s="25" t="n">
        <f aca="false">F12/E12-1</f>
        <v>-0.00503628067971829</v>
      </c>
      <c r="G27" s="25" t="n">
        <f aca="false">G12/F12-1</f>
        <v>-0.159886973396846</v>
      </c>
      <c r="J27" s="25" t="n">
        <f aca="false">J12/I12-1</f>
        <v>-0.249969289198859</v>
      </c>
    </row>
    <row r="28" customFormat="false" ht="15" hidden="false" customHeight="false" outlineLevel="0" collapsed="false">
      <c r="A28" s="5" t="s">
        <v>74</v>
      </c>
      <c r="D28" s="34" t="n">
        <f aca="false">D14/C14-1</f>
        <v>0.221731768206415</v>
      </c>
      <c r="E28" s="34" t="n">
        <f aca="false">E14/D14-1</f>
        <v>0.0436558333849317</v>
      </c>
      <c r="F28" s="34" t="n">
        <f aca="false">F14/E14-1</f>
        <v>0.049650399338901</v>
      </c>
      <c r="G28" s="34" t="n">
        <f aca="false">G14/F14-1</f>
        <v>0.317555233972306</v>
      </c>
      <c r="J28" s="34" t="n">
        <f aca="false">J14/I14-1</f>
        <v>0.410176569198811</v>
      </c>
    </row>
    <row r="30" customFormat="false" ht="15" hidden="false" customHeight="false" outlineLevel="0" collapsed="false">
      <c r="A30" s="23" t="s">
        <v>217</v>
      </c>
      <c r="B30" s="24"/>
      <c r="C30" s="24"/>
      <c r="D30" s="24"/>
      <c r="E30" s="24"/>
      <c r="F30" s="24"/>
      <c r="G30" s="24"/>
      <c r="I30" s="24"/>
      <c r="J30" s="24"/>
    </row>
    <row r="31" customFormat="false" ht="15" hidden="false" customHeight="false" outlineLevel="0" collapsed="false">
      <c r="A31" s="6" t="s">
        <v>69</v>
      </c>
      <c r="C31" s="25" t="n">
        <f aca="false">C9/C14</f>
        <v>0.595278978478829</v>
      </c>
      <c r="D31" s="25" t="n">
        <f aca="false">D9/D14</f>
        <v>0.591308396503549</v>
      </c>
      <c r="E31" s="25" t="n">
        <f aca="false">E9/E14</f>
        <v>0.508399426487534</v>
      </c>
      <c r="F31" s="25" t="n">
        <f aca="false">F9/F14</f>
        <v>0.530852463190235</v>
      </c>
      <c r="G31" s="25" t="n">
        <f aca="false">G9/G14</f>
        <v>0.504665920354894</v>
      </c>
      <c r="I31" s="25" t="n">
        <f aca="false">I9/I14</f>
        <v>0.510457641589932</v>
      </c>
      <c r="J31" s="25" t="n">
        <f aca="false">J9/J14</f>
        <v>0.530980996713184</v>
      </c>
    </row>
    <row r="32" customFormat="false" ht="15" hidden="false" customHeight="false" outlineLevel="0" collapsed="false">
      <c r="A32" s="6" t="s">
        <v>71</v>
      </c>
      <c r="C32" s="25" t="n">
        <f aca="false">C10/C14</f>
        <v>0.257665039243108</v>
      </c>
      <c r="D32" s="25" t="n">
        <f aca="false">D10/D14</f>
        <v>0.265670633028681</v>
      </c>
      <c r="E32" s="25" t="n">
        <f aca="false">E10/E14</f>
        <v>0.244733836761196</v>
      </c>
      <c r="F32" s="25" t="n">
        <f aca="false">F10/F14</f>
        <v>0.237981563312262</v>
      </c>
      <c r="G32" s="25" t="n">
        <f aca="false">G10/G14</f>
        <v>0.327987876583503</v>
      </c>
      <c r="I32" s="25" t="n">
        <f aca="false">I10/I14</f>
        <v>0.288361151190405</v>
      </c>
      <c r="J32" s="25" t="n">
        <f aca="false">J10/J14</f>
        <v>0.333539604588946</v>
      </c>
    </row>
    <row r="33" customFormat="false" ht="15" hidden="false" customHeight="false" outlineLevel="0" collapsed="false">
      <c r="A33" s="6" t="s">
        <v>72</v>
      </c>
      <c r="C33" s="25" t="n">
        <f aca="false">C11/C14</f>
        <v>0.145807610948428</v>
      </c>
      <c r="D33" s="25" t="n">
        <f aca="false">D11/D14</f>
        <v>0.141813419210304</v>
      </c>
      <c r="E33" s="25" t="n">
        <f aca="false">E11/E14</f>
        <v>0.135323760680504</v>
      </c>
      <c r="F33" s="25" t="n">
        <f aca="false">F11/F14</f>
        <v>0.124429915664927</v>
      </c>
      <c r="G33" s="25" t="n">
        <f aca="false">G11/G14</f>
        <v>0.0990164491115034</v>
      </c>
      <c r="I33" s="25" t="n">
        <f aca="false">I11/I14</f>
        <v>0.11204879883431</v>
      </c>
      <c r="J33" s="25" t="n">
        <f aca="false">J11/J14</f>
        <v>0.0872449071146266</v>
      </c>
    </row>
    <row r="34" customFormat="false" ht="15" hidden="false" customHeight="false" outlineLevel="0" collapsed="false">
      <c r="A34" s="6" t="s">
        <v>73</v>
      </c>
      <c r="E34" s="25" t="n">
        <f aca="false">E12/E14</f>
        <v>0.110356897885965</v>
      </c>
      <c r="F34" s="25" t="n">
        <f aca="false">F12/F14</f>
        <v>0.104607314628208</v>
      </c>
      <c r="G34" s="25" t="n">
        <f aca="false">G12/G14</f>
        <v>0.066700784476546</v>
      </c>
      <c r="I34" s="25" t="n">
        <f aca="false">I12/I14</f>
        <v>0.0878530041749547</v>
      </c>
      <c r="J34" s="25" t="n">
        <f aca="false">J12/J14</f>
        <v>0.0467263834945106</v>
      </c>
    </row>
    <row r="36" customFormat="false" ht="15" hidden="false" customHeight="false" outlineLevel="0" collapsed="false">
      <c r="A36" s="23" t="s">
        <v>218</v>
      </c>
      <c r="B36" s="24"/>
      <c r="C36" s="24"/>
      <c r="D36" s="24"/>
      <c r="E36" s="24"/>
      <c r="F36" s="24"/>
      <c r="G36" s="24"/>
      <c r="I36" s="24"/>
      <c r="J36" s="24"/>
    </row>
    <row r="37" customFormat="false" ht="15" hidden="false" customHeight="false" outlineLevel="0" collapsed="false">
      <c r="A37" s="6" t="s">
        <v>69</v>
      </c>
      <c r="C37" s="25" t="n">
        <f aca="false">C17/C9</f>
        <v>0.114476936438894</v>
      </c>
      <c r="D37" s="25" t="n">
        <f aca="false">D17/D9</f>
        <v>0.141335712099664</v>
      </c>
      <c r="E37" s="25" t="n">
        <f aca="false">E17/E9</f>
        <v>0.169203989288869</v>
      </c>
      <c r="F37" s="25" t="n">
        <f aca="false">F17/F9</f>
        <v>0.183360531864739</v>
      </c>
      <c r="G37" s="25" t="n">
        <f aca="false">G17/G9</f>
        <v>0.200625251502836</v>
      </c>
      <c r="I37" s="25" t="n">
        <f aca="false">I17/I9</f>
        <v>0.190067581895809</v>
      </c>
      <c r="J37" s="25" t="n">
        <f aca="false">J17/J9</f>
        <v>0.214424528236857</v>
      </c>
    </row>
    <row r="38" customFormat="false" ht="15" hidden="false" customHeight="false" outlineLevel="0" collapsed="false">
      <c r="A38" s="6" t="s">
        <v>71</v>
      </c>
      <c r="C38" s="25" t="n">
        <f aca="false">C18/C10</f>
        <v>0.0609904607028275</v>
      </c>
      <c r="D38" s="25" t="n">
        <f aca="false">D18/D10</f>
        <v>0.0603377987925173</v>
      </c>
      <c r="E38" s="25" t="n">
        <f aca="false">E18/E10</f>
        <v>0.0401540827960034</v>
      </c>
      <c r="F38" s="25" t="n">
        <f aca="false">F18/F10</f>
        <v>0.0551736739188769</v>
      </c>
      <c r="G38" s="25" t="n">
        <f aca="false">G18/G10</f>
        <v>0.155985159817703</v>
      </c>
      <c r="I38" s="25" t="n">
        <f aca="false">I18/I10</f>
        <v>0.126573330280462</v>
      </c>
      <c r="J38" s="25" t="n">
        <f aca="false">J18/J10</f>
        <v>0.187659385593246</v>
      </c>
    </row>
    <row r="39" customFormat="false" ht="15" hidden="false" customHeight="false" outlineLevel="0" collapsed="false">
      <c r="A39" s="6" t="s">
        <v>72</v>
      </c>
      <c r="C39" s="25" t="n">
        <f aca="false">C19/C11</f>
        <v>0.108457660955703</v>
      </c>
      <c r="D39" s="25" t="n">
        <f aca="false">D19/D11</f>
        <v>0.0577250921785015</v>
      </c>
      <c r="E39" s="25" t="n">
        <f aca="false">E19/E11</f>
        <v>0.0267987874275867</v>
      </c>
      <c r="F39" s="25" t="n">
        <f aca="false">F19/F11</f>
        <v>0.0175412242212355</v>
      </c>
      <c r="G39" s="25" t="n">
        <f aca="false">G19/G11</f>
        <v>0.0101223347739053</v>
      </c>
      <c r="I39" s="25" t="n">
        <f aca="false">I19/I11</f>
        <v>0.0245883600556432</v>
      </c>
      <c r="J39" s="25" t="n">
        <f aca="false">J19/J11</f>
        <v>-0.0111821112448829</v>
      </c>
    </row>
    <row r="40" customFormat="false" ht="15" hidden="false" customHeight="false" outlineLevel="0" collapsed="false">
      <c r="A40" s="6" t="s">
        <v>73</v>
      </c>
      <c r="E40" s="25" t="n">
        <f aca="false">E20/E12</f>
        <v>0.0234227240764015</v>
      </c>
      <c r="F40" s="25" t="n">
        <f aca="false">F20/F12</f>
        <v>0.0047518659297564</v>
      </c>
      <c r="G40" s="25" t="n">
        <f aca="false">G20/G12</f>
        <v>-0.0322633026756495</v>
      </c>
      <c r="I40" s="25" t="n">
        <f aca="false">I20/I12</f>
        <v>-0.0189250216990199</v>
      </c>
      <c r="J40" s="25" t="n">
        <f aca="false">J20/J12</f>
        <v>-0.0706332934117074</v>
      </c>
    </row>
    <row r="41" customFormat="false" ht="15" hidden="false" customHeight="false" outlineLevel="0" collapsed="false">
      <c r="A41" s="5" t="s">
        <v>219</v>
      </c>
      <c r="C41" s="34" t="n">
        <f aca="false">C21/C14</f>
        <v>0.0996747756661855</v>
      </c>
      <c r="D41" s="34" t="n">
        <f aca="false">D21/D14</f>
        <v>0.107789167187168</v>
      </c>
      <c r="E41" s="34" t="n">
        <f aca="false">E21/E14</f>
        <v>0.102061645723646</v>
      </c>
      <c r="F41" s="34" t="n">
        <f aca="false">F21/F14</f>
        <v>0.113147440150057</v>
      </c>
      <c r="G41" s="34" t="n">
        <f aca="false">G21/G14</f>
        <v>0.151260258591017</v>
      </c>
      <c r="I41" s="34" t="n">
        <f aca="false">I21/I14</f>
        <v>0.134612757026118</v>
      </c>
      <c r="J41" s="34" t="n">
        <f aca="false">J21/J14</f>
        <v>0.172171166378795</v>
      </c>
    </row>
    <row r="44" customFormat="false" ht="15" hidden="false" customHeight="false" outlineLevel="0" collapsed="false">
      <c r="A44" s="23" t="s">
        <v>220</v>
      </c>
      <c r="B44" s="24"/>
      <c r="C44" s="24"/>
      <c r="D44" s="24"/>
      <c r="E44" s="24"/>
      <c r="F44" s="24"/>
      <c r="G44" s="24"/>
      <c r="I44" s="24"/>
      <c r="J44" s="24"/>
    </row>
    <row r="45" customFormat="false" ht="15" hidden="false" customHeight="false" outlineLevel="0" collapsed="false">
      <c r="A45" s="21" t="s">
        <v>221</v>
      </c>
      <c r="B45" s="21" t="s">
        <v>222</v>
      </c>
      <c r="C45" s="21" t="s">
        <v>223</v>
      </c>
      <c r="D45" s="21" t="s">
        <v>224</v>
      </c>
      <c r="E45" s="21" t="s">
        <v>225</v>
      </c>
      <c r="F45" s="21" t="s">
        <v>226</v>
      </c>
    </row>
    <row r="46" customFormat="false" ht="15" hidden="false" customHeight="false" outlineLevel="0" collapsed="false">
      <c r="A46" s="35" t="s">
        <v>227</v>
      </c>
      <c r="B46" s="35" t="s">
        <v>228</v>
      </c>
      <c r="C46" s="35" t="s">
        <v>229</v>
      </c>
      <c r="D46" s="36" t="n">
        <v>0.1</v>
      </c>
      <c r="E46" s="35" t="s">
        <v>230</v>
      </c>
      <c r="F46" s="32" t="n">
        <f aca="false">D46*IS!G9</f>
        <v>55488.5168</v>
      </c>
    </row>
    <row r="47" customFormat="false" ht="15" hidden="false" customHeight="false" outlineLevel="0" collapsed="false">
      <c r="A47" s="35" t="s">
        <v>227</v>
      </c>
      <c r="B47" s="35" t="s">
        <v>228</v>
      </c>
      <c r="C47" s="35" t="s">
        <v>231</v>
      </c>
      <c r="D47" s="36" t="n">
        <v>0.12</v>
      </c>
      <c r="E47" s="35" t="s">
        <v>232</v>
      </c>
      <c r="F47" s="4" t="s">
        <v>233</v>
      </c>
    </row>
    <row r="48" customFormat="false" ht="15" hidden="false" customHeight="false" outlineLevel="0" collapsed="false">
      <c r="A48" s="35" t="s">
        <v>234</v>
      </c>
      <c r="B48" s="35" t="s">
        <v>228</v>
      </c>
      <c r="C48" s="35" t="s">
        <v>231</v>
      </c>
      <c r="D48" s="36" t="n">
        <v>0.25</v>
      </c>
      <c r="E48" s="35" t="s">
        <v>232</v>
      </c>
      <c r="F48" s="4" t="s">
        <v>233</v>
      </c>
    </row>
    <row r="49" customFormat="false" ht="15" hidden="false" customHeight="false" outlineLevel="0" collapsed="false">
      <c r="A49" s="35" t="s">
        <v>235</v>
      </c>
      <c r="B49" s="35" t="s">
        <v>236</v>
      </c>
      <c r="C49" s="35" t="s">
        <v>237</v>
      </c>
      <c r="D49" s="36" t="n">
        <v>0.5</v>
      </c>
      <c r="E49" s="35" t="s">
        <v>232</v>
      </c>
      <c r="F49" s="32" t="n">
        <f aca="false">D49*IS!J9</f>
        <v>171304.366</v>
      </c>
    </row>
    <row r="50" customFormat="false" ht="15" hidden="false" customHeight="false" outlineLevel="0" collapsed="false">
      <c r="A50" s="4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7" min="3" style="1" width="12"/>
    <col collapsed="false" customWidth="true" hidden="false" outlineLevel="0" max="8" min="8" style="1" width="3"/>
    <col collapsed="false" customWidth="true" hidden="false" outlineLevel="0" max="10" min="9" style="1" width="12"/>
  </cols>
  <sheetData>
    <row r="1" customFormat="false" ht="17.35" hidden="false" customHeight="false" outlineLevel="0" collapsed="false">
      <c r="A1" s="18" t="s">
        <v>109</v>
      </c>
    </row>
    <row r="2" customFormat="false" ht="15" hidden="false" customHeight="false" outlineLevel="0" collapsed="false">
      <c r="A2" s="19" t="s">
        <v>239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6"/>
      <c r="I4" s="19" t="s">
        <v>105</v>
      </c>
    </row>
    <row r="5" customFormat="false" ht="15" hidden="false" customHeight="false" outlineLevel="0" collapsed="false">
      <c r="A5" s="21" t="s">
        <v>57</v>
      </c>
      <c r="B5" s="21" t="s">
        <v>58</v>
      </c>
      <c r="C5" s="12" t="s">
        <v>59</v>
      </c>
      <c r="D5" s="12" t="s">
        <v>60</v>
      </c>
      <c r="E5" s="12" t="s">
        <v>26</v>
      </c>
      <c r="F5" s="12" t="s">
        <v>27</v>
      </c>
      <c r="G5" s="12" t="s">
        <v>28</v>
      </c>
      <c r="I5" s="12" t="s">
        <v>106</v>
      </c>
      <c r="J5" s="12" t="s">
        <v>29</v>
      </c>
    </row>
    <row r="6" customFormat="false" ht="15" hidden="false" customHeight="false" outlineLevel="0" collapsed="false"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  <c r="I6" s="22" t="s">
        <v>107</v>
      </c>
      <c r="J6" s="22" t="s">
        <v>108</v>
      </c>
    </row>
    <row r="8" customFormat="false" ht="15" hidden="false" customHeight="false" outlineLevel="0" collapsed="false">
      <c r="A8" s="23" t="s">
        <v>109</v>
      </c>
      <c r="B8" s="24"/>
      <c r="C8" s="24"/>
      <c r="D8" s="24"/>
      <c r="E8" s="24"/>
      <c r="F8" s="24"/>
      <c r="G8" s="24"/>
      <c r="I8" s="24"/>
      <c r="J8" s="24"/>
    </row>
    <row r="9" customFormat="false" ht="15" hidden="false" customHeight="false" outlineLevel="0" collapsed="false">
      <c r="A9" s="5" t="s">
        <v>30</v>
      </c>
      <c r="C9" s="37" t="n">
        <f aca="false">Historicals!C9</f>
        <v>314670.796</v>
      </c>
      <c r="D9" s="37" t="n">
        <f aca="false">Historicals!D9</f>
        <v>384443.308</v>
      </c>
      <c r="E9" s="37" t="n">
        <f aca="false">Historicals!E9</f>
        <v>401226.501</v>
      </c>
      <c r="F9" s="37" t="n">
        <f aca="false">Historicals!F9</f>
        <v>421147.557</v>
      </c>
      <c r="G9" s="37" t="n">
        <f aca="false">Historicals!G9</f>
        <v>554885.168</v>
      </c>
      <c r="I9" s="37" t="n">
        <f aca="false">Historicals!I9</f>
        <v>242954.492</v>
      </c>
      <c r="J9" s="37" t="n">
        <f aca="false">Historicals!J9</f>
        <v>342608.732</v>
      </c>
    </row>
    <row r="10" customFormat="false" ht="15" hidden="false" customHeight="false" outlineLevel="0" collapsed="false">
      <c r="A10" s="6" t="s">
        <v>240</v>
      </c>
      <c r="C10" s="13" t="n">
        <f aca="false">Historicals!C10</f>
        <v>-224461.345</v>
      </c>
      <c r="D10" s="13" t="n">
        <f aca="false">Historicals!D10</f>
        <v>-273670.745</v>
      </c>
      <c r="E10" s="13" t="n">
        <f aca="false">Historicals!E10</f>
        <v>-284013.473</v>
      </c>
      <c r="F10" s="13" t="n">
        <f aca="false">Historicals!F10</f>
        <v>-284567.383</v>
      </c>
      <c r="G10" s="13" t="n">
        <f aca="false">Historicals!G10</f>
        <v>-364728.61</v>
      </c>
      <c r="I10" s="13" t="n">
        <f aca="false">Historicals!I10</f>
        <v>-161117.207</v>
      </c>
      <c r="J10" s="13" t="n">
        <f aca="false">Historicals!J10</f>
        <v>-218339.911</v>
      </c>
    </row>
    <row r="11" customFormat="false" ht="15" hidden="false" customHeight="false" outlineLevel="0" collapsed="false">
      <c r="A11" s="5" t="s">
        <v>241</v>
      </c>
      <c r="C11" s="33" t="n">
        <f aca="false">C9+C10</f>
        <v>90209.451</v>
      </c>
      <c r="D11" s="33" t="n">
        <f aca="false">D9+D10</f>
        <v>110772.563</v>
      </c>
      <c r="E11" s="33" t="n">
        <f aca="false">E9+E10</f>
        <v>117213.028</v>
      </c>
      <c r="F11" s="33" t="n">
        <f aca="false">F9+F10</f>
        <v>136580.174</v>
      </c>
      <c r="G11" s="33" t="n">
        <f aca="false">G9+G10</f>
        <v>190156.558</v>
      </c>
      <c r="I11" s="33" t="n">
        <f aca="false">I9+I10</f>
        <v>81837.285</v>
      </c>
      <c r="J11" s="33" t="n">
        <f aca="false">J9+J10</f>
        <v>124268.821</v>
      </c>
    </row>
    <row r="12" customFormat="false" ht="15" hidden="false" customHeight="false" outlineLevel="0" collapsed="false">
      <c r="A12" s="6" t="s">
        <v>114</v>
      </c>
      <c r="C12" s="13" t="n">
        <f aca="false">Historicals!C12</f>
        <v>-19441.53</v>
      </c>
      <c r="D12" s="13" t="n">
        <f aca="false">Historicals!D12</f>
        <v>-22533.664</v>
      </c>
      <c r="E12" s="13" t="n">
        <f aca="false">Historicals!E12</f>
        <v>-24136.041</v>
      </c>
      <c r="F12" s="13" t="n">
        <f aca="false">Historicals!F12</f>
        <v>-27828.065</v>
      </c>
      <c r="G12" s="13" t="n">
        <f aca="false">Historicals!G12</f>
        <v>-34726.493</v>
      </c>
      <c r="I12" s="13" t="n">
        <f aca="false">Historicals!I12</f>
        <v>-15547.743</v>
      </c>
      <c r="J12" s="13" t="n">
        <f aca="false">Historicals!J12</f>
        <v>-21390.676</v>
      </c>
    </row>
    <row r="13" customFormat="false" ht="15" hidden="false" customHeight="false" outlineLevel="0" collapsed="false">
      <c r="A13" s="6" t="s">
        <v>242</v>
      </c>
      <c r="C13" s="13" t="n">
        <f aca="false">Historicals!C13</f>
        <v>-12378.064</v>
      </c>
      <c r="D13" s="13" t="n">
        <f aca="false">Historicals!D13</f>
        <v>-14896.57</v>
      </c>
      <c r="E13" s="13" t="n">
        <f aca="false">Historicals!E13</f>
        <v>-15951.952</v>
      </c>
      <c r="F13" s="13" t="n">
        <f aca="false">Historicals!F13</f>
        <v>-19392.387</v>
      </c>
      <c r="G13" s="13" t="n">
        <f aca="false">Historicals!G13</f>
        <v>-22336.401</v>
      </c>
      <c r="I13" s="13" t="n">
        <f aca="false">Historicals!I13</f>
        <v>-10347.947</v>
      </c>
      <c r="J13" s="13" t="n">
        <f aca="false">Historicals!J13</f>
        <v>-13390.599</v>
      </c>
    </row>
    <row r="14" customFormat="false" ht="15" hidden="false" customHeight="false" outlineLevel="0" collapsed="false">
      <c r="A14" s="6" t="s">
        <v>243</v>
      </c>
      <c r="C14" s="13" t="n">
        <f aca="false">Historicals!C14</f>
        <v>-27202.489</v>
      </c>
      <c r="D14" s="13" t="n">
        <f aca="false">Historicals!D14</f>
        <v>-31769.981</v>
      </c>
      <c r="E14" s="13" t="n">
        <f aca="false">Historicals!E14</f>
        <v>-36047.85</v>
      </c>
      <c r="F14" s="13" t="n">
        <f aca="false">Historicals!F14</f>
        <v>-41574.772</v>
      </c>
      <c r="G14" s="13" t="n">
        <f aca="false">Historicals!G14</f>
        <v>-48742.709</v>
      </c>
      <c r="I14" s="13" t="n">
        <f aca="false">Historicals!I14</f>
        <v>-22908.678</v>
      </c>
      <c r="J14" s="13" t="n">
        <f aca="false">Historicals!J14</f>
        <v>-29438.966</v>
      </c>
    </row>
    <row r="15" customFormat="false" ht="15" hidden="false" customHeight="false" outlineLevel="0" collapsed="false">
      <c r="A15" s="6" t="s">
        <v>244</v>
      </c>
      <c r="C15" s="13" t="n">
        <f aca="false">Historicals!C15</f>
        <v>177.373</v>
      </c>
      <c r="D15" s="13" t="n">
        <f aca="false">Historicals!D15</f>
        <v>-133.524</v>
      </c>
      <c r="E15" s="13" t="n">
        <f aca="false">Historicals!E15</f>
        <v>-127.348</v>
      </c>
      <c r="F15" s="13" t="n">
        <f aca="false">Historicals!F15</f>
        <v>-133.182</v>
      </c>
      <c r="G15" s="13" t="n">
        <f aca="false">Historicals!G15</f>
        <v>-418.881</v>
      </c>
      <c r="I15" s="13" t="n">
        <f aca="false">Historicals!I15</f>
        <v>-328.143</v>
      </c>
      <c r="J15" s="13" t="n">
        <f aca="false">Historicals!J15</f>
        <v>-1061.235</v>
      </c>
    </row>
    <row r="16" customFormat="false" ht="15" hidden="false" customHeight="false" outlineLevel="0" collapsed="false">
      <c r="A16" s="5" t="s">
        <v>245</v>
      </c>
      <c r="C16" s="33" t="n">
        <f aca="false">SUM(C12:C15)</f>
        <v>-58844.71</v>
      </c>
      <c r="D16" s="33" t="n">
        <f aca="false">SUM(D12:D15)</f>
        <v>-69333.739</v>
      </c>
      <c r="E16" s="33" t="n">
        <f aca="false">SUM(E12:E15)</f>
        <v>-76263.191</v>
      </c>
      <c r="F16" s="33" t="n">
        <f aca="false">SUM(F12:F15)</f>
        <v>-88928.406</v>
      </c>
      <c r="G16" s="33" t="n">
        <f aca="false">SUM(G12:G15)</f>
        <v>-106224.484</v>
      </c>
      <c r="I16" s="33" t="n">
        <f aca="false">SUM(I12:I15)</f>
        <v>-49132.511</v>
      </c>
      <c r="J16" s="33" t="n">
        <f aca="false">SUM(J12:J15)</f>
        <v>-65281.476</v>
      </c>
    </row>
    <row r="17" customFormat="false" ht="15" hidden="false" customHeight="false" outlineLevel="0" collapsed="false">
      <c r="A17" s="5" t="s">
        <v>246</v>
      </c>
      <c r="C17" s="33" t="n">
        <f aca="false">C11+C16</f>
        <v>31364.741</v>
      </c>
      <c r="D17" s="33" t="n">
        <f aca="false">D11+D16</f>
        <v>41438.824</v>
      </c>
      <c r="E17" s="33" t="n">
        <f aca="false">E11+E16</f>
        <v>40949.837</v>
      </c>
      <c r="F17" s="33" t="n">
        <f aca="false">F11+F16</f>
        <v>47651.768</v>
      </c>
      <c r="G17" s="33" t="n">
        <f aca="false">G11+G16</f>
        <v>83932.074</v>
      </c>
      <c r="I17" s="33" t="n">
        <f aca="false">I11+I16</f>
        <v>32704.774</v>
      </c>
      <c r="J17" s="33" t="n">
        <f aca="false">J11+J16</f>
        <v>58987.345</v>
      </c>
    </row>
    <row r="18" customFormat="false" ht="15" hidden="false" customHeight="false" outlineLevel="0" collapsed="false">
      <c r="A18" s="6" t="s">
        <v>120</v>
      </c>
      <c r="C18" s="13" t="n">
        <f aca="false">Historicals!C18</f>
        <v>429.643</v>
      </c>
      <c r="D18" s="13" t="n">
        <f aca="false">Historicals!D18</f>
        <v>609.613</v>
      </c>
      <c r="E18" s="13" t="n">
        <f aca="false">Historicals!E18</f>
        <v>2070.115</v>
      </c>
      <c r="F18" s="13" t="n">
        <f aca="false">Historicals!F18</f>
        <v>3406.797</v>
      </c>
      <c r="G18" s="13" t="n">
        <f aca="false">Historicals!G18</f>
        <v>3716.575</v>
      </c>
      <c r="I18" s="13" t="n">
        <f aca="false">Historicals!I18</f>
        <v>1862.451</v>
      </c>
      <c r="J18" s="13" t="n">
        <f aca="false">Historicals!J18</f>
        <v>1920.977</v>
      </c>
    </row>
    <row r="19" customFormat="false" ht="15" hidden="false" customHeight="false" outlineLevel="0" collapsed="false">
      <c r="A19" s="6" t="s">
        <v>123</v>
      </c>
      <c r="C19" s="13" t="n">
        <f aca="false">Historicals!C21</f>
        <v>-295.157</v>
      </c>
      <c r="D19" s="13" t="n">
        <f aca="false">Historicals!D21</f>
        <v>-571.44</v>
      </c>
      <c r="E19" s="13" t="n">
        <f aca="false">Historicals!E21</f>
        <v>-1170.718</v>
      </c>
      <c r="F19" s="13" t="n">
        <f aca="false">Historicals!F21</f>
        <v>-1547.313</v>
      </c>
      <c r="G19" s="13" t="n">
        <f aca="false">Historicals!G21</f>
        <v>-2216.008</v>
      </c>
      <c r="I19" s="13" t="n">
        <f aca="false">Historicals!I21</f>
        <v>-1037.29</v>
      </c>
      <c r="J19" s="13" t="n">
        <f aca="false">Historicals!J21</f>
        <v>-1094.432</v>
      </c>
    </row>
    <row r="20" customFormat="false" ht="15" hidden="false" customHeight="false" outlineLevel="0" collapsed="false">
      <c r="A20" s="6" t="s">
        <v>247</v>
      </c>
      <c r="B20" s="4" t="s">
        <v>248</v>
      </c>
      <c r="C20" s="32" t="n">
        <f aca="false">Historicals!C19+Historicals!C20+Historicals!C22</f>
        <v>4128.32</v>
      </c>
      <c r="D20" s="32" t="n">
        <f aca="false">Historicals!D19+Historicals!D20+Historicals!D22</f>
        <v>4588.301</v>
      </c>
      <c r="E20" s="32" t="n">
        <f aca="false">Historicals!E19+Historicals!E20+Historicals!E22</f>
        <v>6792.877</v>
      </c>
      <c r="F20" s="32" t="n">
        <f aca="false">Historicals!F19+Historicals!F20+Historicals!F22</f>
        <v>1804.376</v>
      </c>
      <c r="G20" s="32" t="n">
        <f aca="false">Historicals!G19+Historicals!G20+Historicals!G22</f>
        <v>2433.355</v>
      </c>
      <c r="I20" s="32" t="n">
        <f aca="false">Historicals!I19+Historicals!I20+Historicals!I22</f>
        <v>1704.152</v>
      </c>
      <c r="J20" s="32" t="n">
        <f aca="false">Historicals!J19+Historicals!J20+Historicals!J22</f>
        <v>6278.547</v>
      </c>
    </row>
    <row r="21" customFormat="false" ht="15" hidden="false" customHeight="false" outlineLevel="0" collapsed="false">
      <c r="A21" s="5" t="s">
        <v>249</v>
      </c>
      <c r="C21" s="33" t="n">
        <f aca="false">SUM(C18:C20)</f>
        <v>4262.806</v>
      </c>
      <c r="D21" s="33" t="n">
        <f aca="false">SUM(D18:D20)</f>
        <v>4626.474</v>
      </c>
      <c r="E21" s="33" t="n">
        <f aca="false">SUM(E18:E20)</f>
        <v>7692.274</v>
      </c>
      <c r="F21" s="33" t="n">
        <f aca="false">SUM(F18:F20)</f>
        <v>3663.86</v>
      </c>
      <c r="G21" s="33" t="n">
        <f aca="false">SUM(G18:G20)</f>
        <v>3933.922</v>
      </c>
      <c r="I21" s="33" t="n">
        <f aca="false">SUM(I18:I20)</f>
        <v>2529.313</v>
      </c>
      <c r="J21" s="33" t="n">
        <f aca="false">SUM(J18:J20)</f>
        <v>7105.092</v>
      </c>
    </row>
    <row r="22" customFormat="false" ht="15" hidden="false" customHeight="false" outlineLevel="0" collapsed="false">
      <c r="A22" s="5" t="s">
        <v>250</v>
      </c>
      <c r="C22" s="33" t="n">
        <f aca="false">C17+C21</f>
        <v>35627.547</v>
      </c>
      <c r="D22" s="33" t="n">
        <f aca="false">D17+D21</f>
        <v>46065.298</v>
      </c>
      <c r="E22" s="33" t="n">
        <f aca="false">E17+E21</f>
        <v>48642.111</v>
      </c>
      <c r="F22" s="33" t="n">
        <f aca="false">F17+F21</f>
        <v>51315.628</v>
      </c>
      <c r="G22" s="33" t="n">
        <f aca="false">G17+G21</f>
        <v>87865.996</v>
      </c>
      <c r="I22" s="33" t="n">
        <f aca="false">I17+I21</f>
        <v>35234.087</v>
      </c>
      <c r="J22" s="33" t="n">
        <f aca="false">J17+J21</f>
        <v>66092.437</v>
      </c>
    </row>
    <row r="23" customFormat="false" ht="15" hidden="false" customHeight="false" outlineLevel="0" collapsed="false">
      <c r="A23" s="6" t="s">
        <v>251</v>
      </c>
      <c r="C23" s="13" t="n">
        <f aca="false">Historicals!C25</f>
        <v>-7128.314</v>
      </c>
      <c r="D23" s="13" t="n">
        <f aca="false">Historicals!D25</f>
        <v>-9074.56</v>
      </c>
      <c r="E23" s="13" t="n">
        <f aca="false">Historicals!E25</f>
        <v>-9761.744</v>
      </c>
      <c r="F23" s="13" t="n">
        <f aca="false">Historicals!F25</f>
        <v>-10924.528</v>
      </c>
      <c r="G23" s="13" t="n">
        <f aca="false">Historicals!G25</f>
        <v>-19929.688</v>
      </c>
      <c r="I23" s="13" t="n">
        <f aca="false">Historicals!I25</f>
        <v>-7857.035</v>
      </c>
      <c r="J23" s="13" t="n">
        <f aca="false">Historicals!J25</f>
        <v>-15088.837</v>
      </c>
    </row>
    <row r="24" customFormat="false" ht="15" hidden="false" customHeight="false" outlineLevel="0" collapsed="false">
      <c r="A24" s="5" t="s">
        <v>252</v>
      </c>
      <c r="C24" s="33" t="n">
        <f aca="false">C22+C23</f>
        <v>28499.233</v>
      </c>
      <c r="D24" s="33" t="n">
        <f aca="false">D22+D23</f>
        <v>36990.738</v>
      </c>
      <c r="E24" s="33" t="n">
        <f aca="false">E22+E23</f>
        <v>38880.367</v>
      </c>
      <c r="F24" s="33" t="n">
        <f aca="false">F22+F23</f>
        <v>40391.1</v>
      </c>
      <c r="G24" s="33" t="n">
        <f aca="false">G22+G23</f>
        <v>67936.308</v>
      </c>
      <c r="I24" s="33" t="n">
        <f aca="false">I22+I23</f>
        <v>27377.052</v>
      </c>
      <c r="J24" s="33" t="n">
        <f aca="false">J22+J23</f>
        <v>51003.6</v>
      </c>
    </row>
    <row r="25" customFormat="false" ht="15" hidden="false" customHeight="false" outlineLevel="0" collapsed="false">
      <c r="A25" s="6" t="s">
        <v>253</v>
      </c>
      <c r="C25" s="13" t="n">
        <f aca="false">-Historicals!C28</f>
        <v>-1702.931</v>
      </c>
      <c r="D25" s="13" t="n">
        <f aca="false">-Historicals!D28</f>
        <v>-4325.01</v>
      </c>
      <c r="E25" s="13" t="n">
        <f aca="false">-Historicals!E28</f>
        <v>-5487.702</v>
      </c>
      <c r="F25" s="13" t="n">
        <f aca="false">-Historicals!F28</f>
        <v>-5162.523</v>
      </c>
      <c r="G25" s="13" t="n">
        <f aca="false">-Historicals!G28</f>
        <v>-7827.909</v>
      </c>
      <c r="I25" s="13" t="n">
        <f aca="false">-Historicals!I28</f>
        <v>-3198.066</v>
      </c>
      <c r="J25" s="13" t="n">
        <f aca="false">-Historicals!J28</f>
        <v>-5312.369</v>
      </c>
    </row>
    <row r="26" customFormat="false" ht="15" hidden="false" customHeight="false" outlineLevel="0" collapsed="false">
      <c r="A26" s="5" t="s">
        <v>254</v>
      </c>
      <c r="C26" s="33" t="n">
        <f aca="false">C24+C25</f>
        <v>26796.302</v>
      </c>
      <c r="D26" s="33" t="n">
        <f aca="false">D24+D25</f>
        <v>32665.728</v>
      </c>
      <c r="E26" s="33" t="n">
        <f aca="false">E24+E25</f>
        <v>33392.665</v>
      </c>
      <c r="F26" s="33" t="n">
        <f aca="false">F24+F25</f>
        <v>35228.577</v>
      </c>
      <c r="G26" s="33" t="n">
        <f aca="false">G24+G25</f>
        <v>60108.399</v>
      </c>
      <c r="I26" s="33" t="n">
        <f aca="false">I24+I25</f>
        <v>24178.986</v>
      </c>
      <c r="J26" s="33" t="n">
        <f aca="false">J24+J25</f>
        <v>45691.231</v>
      </c>
    </row>
    <row r="28" customFormat="false" ht="15" hidden="false" customHeight="false" outlineLevel="0" collapsed="false">
      <c r="A28" s="6" t="s">
        <v>255</v>
      </c>
      <c r="B28" s="4" t="s">
        <v>256</v>
      </c>
      <c r="C28" s="32" t="n">
        <f aca="false">Historicals!C65/Historicals!C101</f>
        <v>2597.5433</v>
      </c>
      <c r="D28" s="32" t="n">
        <f aca="false">Historicals!D65/Historicals!D101</f>
        <v>2597.5433</v>
      </c>
      <c r="E28" s="32" t="n">
        <f aca="false">Historicals!E65/Historicals!E101</f>
        <v>2597.5433</v>
      </c>
      <c r="F28" s="32" t="n">
        <f aca="false">Historicals!F65/Historicals!F101</f>
        <v>2597.5433</v>
      </c>
      <c r="G28" s="32" t="n">
        <f aca="false">Historicals!G65/Historicals!G101</f>
        <v>2597.5433</v>
      </c>
      <c r="I28" s="32" t="n">
        <f aca="false">Historicals!I65/Historicals!I101</f>
        <v>2597.5433</v>
      </c>
      <c r="J28" s="32" t="n">
        <f aca="false">Historicals!J65/Historicals!J101</f>
        <v>2597.5433</v>
      </c>
    </row>
    <row r="29" customFormat="false" ht="15" hidden="false" customHeight="false" outlineLevel="0" collapsed="false">
      <c r="A29" s="5" t="s">
        <v>32</v>
      </c>
      <c r="B29" s="4" t="s">
        <v>257</v>
      </c>
      <c r="C29" s="38" t="n">
        <f aca="false">C26/C28</f>
        <v>10.3160174461769</v>
      </c>
      <c r="D29" s="38" t="n">
        <f aca="false">D26/D28</f>
        <v>12.5756240521573</v>
      </c>
      <c r="E29" s="38" t="n">
        <f aca="false">E26/E28</f>
        <v>12.8554796372403</v>
      </c>
      <c r="F29" s="38" t="n">
        <f aca="false">F26/F28</f>
        <v>13.56226747019</v>
      </c>
      <c r="G29" s="38" t="n">
        <f aca="false">G26/G28</f>
        <v>23.1404800836236</v>
      </c>
      <c r="I29" s="38" t="n">
        <f aca="false">I26/I28</f>
        <v>9.30840536902696</v>
      </c>
      <c r="J29" s="38" t="n">
        <f aca="false">J26/J28</f>
        <v>17.5901710666382</v>
      </c>
    </row>
    <row r="31" customFormat="false" ht="15" hidden="false" customHeight="false" outlineLevel="0" collapsed="false">
      <c r="A31" s="23" t="s">
        <v>258</v>
      </c>
      <c r="B31" s="24"/>
      <c r="C31" s="24"/>
      <c r="D31" s="24"/>
      <c r="E31" s="24"/>
      <c r="F31" s="24"/>
      <c r="G31" s="24"/>
      <c r="I31" s="24"/>
      <c r="J31" s="24"/>
    </row>
    <row r="32" customFormat="false" ht="15" hidden="false" customHeight="false" outlineLevel="0" collapsed="false">
      <c r="A32" s="6" t="s">
        <v>259</v>
      </c>
      <c r="B32" s="4" t="s">
        <v>260</v>
      </c>
      <c r="C32" s="32" t="n">
        <f aca="false">Historicals!C73+Historicals!C74</f>
        <v>17151.303</v>
      </c>
      <c r="D32" s="32" t="n">
        <f aca="false">Historicals!D73+Historicals!D74</f>
        <v>18936.175</v>
      </c>
      <c r="E32" s="32" t="n">
        <f aca="false">Historicals!E73+Historicals!E74</f>
        <v>21589.753</v>
      </c>
      <c r="F32" s="32" t="n">
        <f aca="false">Historicals!F73+Historicals!F74</f>
        <v>25016.172</v>
      </c>
      <c r="G32" s="32" t="n">
        <f aca="false">Historicals!G73+Historicals!G74</f>
        <v>27839.061</v>
      </c>
      <c r="I32" s="32" t="n">
        <f aca="false">Historicals!I73+Historicals!I74</f>
        <v>13579.013</v>
      </c>
      <c r="J32" s="32" t="n">
        <f aca="false">Historicals!J73+Historicals!J74</f>
        <v>16222.01</v>
      </c>
    </row>
    <row r="33" customFormat="false" ht="15" hidden="false" customHeight="false" outlineLevel="0" collapsed="false">
      <c r="A33" s="5" t="s">
        <v>261</v>
      </c>
      <c r="B33" s="4" t="s">
        <v>262</v>
      </c>
      <c r="C33" s="39" t="n">
        <f aca="false">C17+C32</f>
        <v>48516.044</v>
      </c>
      <c r="D33" s="39" t="n">
        <f aca="false">D17+D32</f>
        <v>60374.999</v>
      </c>
      <c r="E33" s="39" t="n">
        <f aca="false">E17+E32</f>
        <v>62539.59</v>
      </c>
      <c r="F33" s="39" t="n">
        <f aca="false">F17+F32</f>
        <v>72667.94</v>
      </c>
      <c r="G33" s="39" t="n">
        <f aca="false">G17+G32</f>
        <v>111771.135</v>
      </c>
      <c r="I33" s="39" t="n">
        <f aca="false">I17+I32</f>
        <v>46283.787</v>
      </c>
      <c r="J33" s="39" t="n">
        <f aca="false">J17+J32</f>
        <v>75209.355</v>
      </c>
    </row>
    <row r="35" customFormat="false" ht="15" hidden="false" customHeight="false" outlineLevel="0" collapsed="false">
      <c r="A35" s="23" t="s">
        <v>263</v>
      </c>
      <c r="B35" s="24"/>
      <c r="C35" s="24"/>
      <c r="D35" s="24"/>
      <c r="E35" s="24"/>
      <c r="F35" s="24"/>
      <c r="G35" s="24"/>
      <c r="I35" s="24"/>
      <c r="J35" s="24"/>
    </row>
    <row r="36" customFormat="false" ht="15" hidden="false" customHeight="false" outlineLevel="0" collapsed="false">
      <c r="A36" s="6" t="s">
        <v>216</v>
      </c>
      <c r="B36" s="4" t="s">
        <v>264</v>
      </c>
      <c r="D36" s="25" t="n">
        <f aca="false">D9/C9-1</f>
        <v>0.221731768206415</v>
      </c>
      <c r="E36" s="25" t="n">
        <f aca="false">E9/D9-1</f>
        <v>0.0436558333849317</v>
      </c>
      <c r="F36" s="25" t="n">
        <f aca="false">F9/E9-1</f>
        <v>0.049650399338901</v>
      </c>
      <c r="G36" s="25" t="n">
        <f aca="false">G9/F9-1</f>
        <v>0.317555233972306</v>
      </c>
      <c r="J36" s="25" t="n">
        <f aca="false">J9/I9-1</f>
        <v>0.410176569198811</v>
      </c>
    </row>
    <row r="37" customFormat="false" ht="15" hidden="false" customHeight="false" outlineLevel="0" collapsed="false">
      <c r="A37" s="6" t="s">
        <v>77</v>
      </c>
      <c r="C37" s="25" t="n">
        <f aca="false">C11/C9</f>
        <v>0.286678815278428</v>
      </c>
      <c r="D37" s="25" t="n">
        <f aca="false">D11/D9</f>
        <v>0.288137576321136</v>
      </c>
      <c r="E37" s="25" t="n">
        <f aca="false">E11/E9</f>
        <v>0.292136804791965</v>
      </c>
      <c r="F37" s="25" t="n">
        <f aca="false">F11/F9</f>
        <v>0.324304799422118</v>
      </c>
      <c r="G37" s="25" t="n">
        <f aca="false">G11/G9</f>
        <v>0.342695334037114</v>
      </c>
      <c r="I37" s="25" t="n">
        <f aca="false">I11/I9</f>
        <v>0.336842032951587</v>
      </c>
      <c r="J37" s="25" t="n">
        <f aca="false">J11/J9</f>
        <v>0.362713525351712</v>
      </c>
    </row>
    <row r="38" customFormat="false" ht="15" hidden="false" customHeight="false" outlineLevel="0" collapsed="false">
      <c r="A38" s="6" t="s">
        <v>265</v>
      </c>
      <c r="C38" s="25" t="n">
        <f aca="false">-C14/C9</f>
        <v>0.0864474534840532</v>
      </c>
      <c r="D38" s="25" t="n">
        <f aca="false">-D14/D9</f>
        <v>0.0826389231881232</v>
      </c>
      <c r="E38" s="25" t="n">
        <f aca="false">-E14/E9</f>
        <v>0.089844140180561</v>
      </c>
      <c r="F38" s="25" t="n">
        <f aca="false">-F14/F9</f>
        <v>0.0987178277755034</v>
      </c>
      <c r="G38" s="25" t="n">
        <f aca="false">-G14/G9</f>
        <v>0.0878428759876314</v>
      </c>
      <c r="I38" s="25" t="n">
        <f aca="false">-I14/I9</f>
        <v>0.094292053673986</v>
      </c>
      <c r="J38" s="25" t="n">
        <f aca="false">-J14/J9</f>
        <v>0.0859259068738505</v>
      </c>
    </row>
    <row r="39" customFormat="false" ht="15" hidden="false" customHeight="false" outlineLevel="0" collapsed="false">
      <c r="A39" s="6" t="s">
        <v>266</v>
      </c>
      <c r="C39" s="25" t="n">
        <f aca="false">-(C12+C13)/C9</f>
        <v>0.101120264112466</v>
      </c>
      <c r="D39" s="25" t="n">
        <f aca="false">-(D12+D13)/D9</f>
        <v>0.0973621681561433</v>
      </c>
      <c r="E39" s="25" t="n">
        <f aca="false">-(E12+E13)/E9</f>
        <v>0.0999136221064321</v>
      </c>
      <c r="F39" s="25" t="n">
        <f aca="false">-(F12+F13)/F9</f>
        <v>0.112123295541282</v>
      </c>
      <c r="G39" s="25" t="n">
        <f aca="false">-(G12+G13)/G9</f>
        <v>0.10283730272639</v>
      </c>
      <c r="I39" s="25" t="n">
        <f aca="false">-(I12+I13)/I9</f>
        <v>0.106586586594168</v>
      </c>
      <c r="J39" s="25" t="n">
        <f aca="false">-(J12+J13)/J9</f>
        <v>0.101518939102813</v>
      </c>
    </row>
    <row r="40" customFormat="false" ht="15" hidden="false" customHeight="false" outlineLevel="0" collapsed="false">
      <c r="A40" s="5" t="s">
        <v>31</v>
      </c>
      <c r="C40" s="34" t="n">
        <f aca="false">C17/C9</f>
        <v>0.0996747756661854</v>
      </c>
      <c r="D40" s="34" t="n">
        <f aca="false">D17/D9</f>
        <v>0.107789167187168</v>
      </c>
      <c r="E40" s="34" t="n">
        <f aca="false">E17/E9</f>
        <v>0.102061645723646</v>
      </c>
      <c r="F40" s="34" t="n">
        <f aca="false">F17/F9</f>
        <v>0.113147440150057</v>
      </c>
      <c r="G40" s="34" t="n">
        <f aca="false">G17/G9</f>
        <v>0.151260258591017</v>
      </c>
      <c r="I40" s="34" t="n">
        <f aca="false">I17/I9</f>
        <v>0.134612757026118</v>
      </c>
      <c r="J40" s="34" t="n">
        <f aca="false">J17/J9</f>
        <v>0.172171166378795</v>
      </c>
    </row>
    <row r="41" customFormat="false" ht="15" hidden="false" customHeight="false" outlineLevel="0" collapsed="false">
      <c r="A41" s="6" t="s">
        <v>267</v>
      </c>
      <c r="C41" s="25" t="n">
        <f aca="false">C33/C9</f>
        <v>0.154180319930293</v>
      </c>
      <c r="D41" s="25" t="n">
        <f aca="false">D33/D9</f>
        <v>0.157045259323385</v>
      </c>
      <c r="E41" s="25" t="n">
        <f aca="false">E33/E9</f>
        <v>0.155871035049103</v>
      </c>
      <c r="F41" s="25" t="n">
        <f aca="false">F33/F9</f>
        <v>0.172547457042473</v>
      </c>
      <c r="G41" s="25" t="n">
        <f aca="false">G33/G9</f>
        <v>0.201431109436322</v>
      </c>
      <c r="I41" s="25" t="n">
        <f aca="false">I33/I9</f>
        <v>0.190503936021072</v>
      </c>
      <c r="J41" s="25" t="n">
        <f aca="false">J33/J9</f>
        <v>0.219519667700705</v>
      </c>
    </row>
    <row r="42" customFormat="false" ht="15" hidden="false" customHeight="false" outlineLevel="0" collapsed="false">
      <c r="A42" s="6" t="s">
        <v>80</v>
      </c>
      <c r="C42" s="25" t="n">
        <f aca="false">-C23/C22</f>
        <v>0.200078719985971</v>
      </c>
      <c r="D42" s="25" t="n">
        <f aca="false">-D23/D22</f>
        <v>0.196993407054482</v>
      </c>
      <c r="E42" s="25" t="n">
        <f aca="false">-E23/E22</f>
        <v>0.200685040170234</v>
      </c>
      <c r="F42" s="25" t="n">
        <f aca="false">-F23/F22</f>
        <v>0.212888907839148</v>
      </c>
      <c r="G42" s="25" t="n">
        <f aca="false">-G23/G22</f>
        <v>0.226819121244583</v>
      </c>
      <c r="I42" s="25" t="n">
        <f aca="false">-I23/I22</f>
        <v>0.222995277272262</v>
      </c>
      <c r="J42" s="25" t="n">
        <f aca="false">-J23/J22</f>
        <v>0.22829899584426</v>
      </c>
    </row>
    <row r="43" customFormat="false" ht="15" hidden="false" customHeight="false" outlineLevel="0" collapsed="false">
      <c r="A43" s="6" t="s">
        <v>268</v>
      </c>
      <c r="C43" s="25" t="n">
        <f aca="false">C26/C9</f>
        <v>0.0851566219065336</v>
      </c>
      <c r="D43" s="25" t="n">
        <f aca="false">D26/D9</f>
        <v>0.0849689078213842</v>
      </c>
      <c r="E43" s="25" t="n">
        <f aca="false">E26/E9</f>
        <v>0.083226469130961</v>
      </c>
      <c r="F43" s="25" t="n">
        <f aca="false">F26/F9</f>
        <v>0.0836490118830252</v>
      </c>
      <c r="G43" s="25" t="n">
        <f aca="false">G26/G9</f>
        <v>0.10832583472478</v>
      </c>
      <c r="I43" s="25" t="n">
        <f aca="false">I26/I9</f>
        <v>0.0995206377991151</v>
      </c>
      <c r="J43" s="25" t="n">
        <f aca="false">J26/J9</f>
        <v>0.133362715927509</v>
      </c>
    </row>
    <row r="44" customFormat="false" ht="15" hidden="false" customHeight="false" outlineLevel="0" collapsed="false">
      <c r="A44" s="6" t="s">
        <v>269</v>
      </c>
      <c r="D44" s="25" t="n">
        <f aca="false">D29/C29-1</f>
        <v>0.219038656901242</v>
      </c>
      <c r="E44" s="25" t="n">
        <f aca="false">E29/D29-1</f>
        <v>0.0222538129258889</v>
      </c>
      <c r="F44" s="25" t="n">
        <f aca="false">F29/E29-1</f>
        <v>0.0549794992403276</v>
      </c>
      <c r="G44" s="25" t="n">
        <f aca="false">G29/F29-1</f>
        <v>0.706239766653077</v>
      </c>
      <c r="J44" s="25" t="n">
        <f aca="false">J29/I29-1</f>
        <v>0.889708319447309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7" min="3" style="1" width="12"/>
    <col collapsed="false" customWidth="true" hidden="false" outlineLevel="0" max="8" min="8" style="1" width="3"/>
    <col collapsed="false" customWidth="true" hidden="false" outlineLevel="0" max="10" min="9" style="1" width="12"/>
  </cols>
  <sheetData>
    <row r="1" customFormat="false" ht="17.35" hidden="false" customHeight="false" outlineLevel="0" collapsed="false">
      <c r="A1" s="18" t="s">
        <v>270</v>
      </c>
    </row>
    <row r="2" customFormat="false" ht="15" hidden="false" customHeight="false" outlineLevel="0" collapsed="false">
      <c r="A2" s="19" t="s">
        <v>271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6"/>
      <c r="I4" s="19" t="s">
        <v>105</v>
      </c>
    </row>
    <row r="5" customFormat="false" ht="15" hidden="false" customHeight="false" outlineLevel="0" collapsed="false">
      <c r="A5" s="21" t="s">
        <v>57</v>
      </c>
      <c r="B5" s="21" t="s">
        <v>58</v>
      </c>
      <c r="C5" s="12" t="s">
        <v>59</v>
      </c>
      <c r="D5" s="12" t="s">
        <v>60</v>
      </c>
      <c r="E5" s="12" t="s">
        <v>26</v>
      </c>
      <c r="F5" s="12" t="s">
        <v>27</v>
      </c>
      <c r="G5" s="12" t="s">
        <v>28</v>
      </c>
      <c r="I5" s="12" t="s">
        <v>106</v>
      </c>
      <c r="J5" s="12" t="s">
        <v>29</v>
      </c>
    </row>
    <row r="6" customFormat="false" ht="15" hidden="false" customHeight="false" outlineLevel="0" collapsed="false"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  <c r="I6" s="22" t="s">
        <v>107</v>
      </c>
      <c r="J6" s="22" t="s">
        <v>108</v>
      </c>
    </row>
    <row r="8" customFormat="false" ht="15" hidden="false" customHeight="false" outlineLevel="0" collapsed="false">
      <c r="A8" s="23" t="s">
        <v>272</v>
      </c>
      <c r="B8" s="24"/>
      <c r="C8" s="24"/>
      <c r="D8" s="24"/>
      <c r="E8" s="24"/>
      <c r="F8" s="24"/>
      <c r="G8" s="24"/>
      <c r="I8" s="24"/>
      <c r="J8" s="24"/>
    </row>
    <row r="9" customFormat="false" ht="15" hidden="false" customHeight="false" outlineLevel="0" collapsed="false">
      <c r="A9" s="6" t="s">
        <v>134</v>
      </c>
      <c r="C9" s="13" t="n">
        <f aca="false">Historicals!C33</f>
        <v>49855.053</v>
      </c>
      <c r="D9" s="13" t="n">
        <f aca="false">Historicals!D33</f>
        <v>61546.836</v>
      </c>
      <c r="E9" s="13" t="n">
        <f aca="false">Historicals!E33</f>
        <v>87455.916</v>
      </c>
      <c r="F9" s="13" t="n">
        <f aca="false">Historicals!F33</f>
        <v>117459.25</v>
      </c>
      <c r="G9" s="13" t="n">
        <f aca="false">Historicals!G33</f>
        <v>151172.175</v>
      </c>
      <c r="I9" s="13" t="n">
        <f aca="false">Historicals!I33</f>
        <v>139527.968</v>
      </c>
      <c r="J9" s="13" t="n">
        <f aca="false">Historicals!J33</f>
        <v>182350.204</v>
      </c>
    </row>
    <row r="10" customFormat="false" ht="15" hidden="false" customHeight="false" outlineLevel="0" collapsed="false">
      <c r="A10" s="6" t="s">
        <v>273</v>
      </c>
      <c r="B10" s="4" t="s">
        <v>274</v>
      </c>
      <c r="C10" s="32" t="n">
        <f aca="false">Historicals!C34+Historicals!C35+Historicals!C36</f>
        <v>1412.967</v>
      </c>
      <c r="D10" s="32" t="n">
        <f aca="false">Historicals!D34+Historicals!D35+Historicals!D36</f>
        <v>2024.994</v>
      </c>
      <c r="E10" s="32" t="n">
        <f aca="false">Historicals!E34+Historicals!E35+Historicals!E36</f>
        <v>5163.641</v>
      </c>
      <c r="F10" s="32" t="n">
        <f aca="false">Historicals!F34+Historicals!F35+Historicals!F36</f>
        <v>4333.292</v>
      </c>
      <c r="G10" s="32" t="n">
        <f aca="false">Historicals!G34+Historicals!G35+Historicals!G36</f>
        <v>3940.698</v>
      </c>
      <c r="I10" s="32" t="n">
        <f aca="false">Historicals!I34+Historicals!I35+Historicals!I36</f>
        <v>3821.424</v>
      </c>
      <c r="J10" s="32" t="n">
        <f aca="false">Historicals!J34+Historicals!J35+Historicals!J36</f>
        <v>4248.855</v>
      </c>
    </row>
    <row r="11" customFormat="false" ht="15" hidden="false" customHeight="false" outlineLevel="0" collapsed="false">
      <c r="A11" s="6" t="s">
        <v>275</v>
      </c>
      <c r="B11" s="4" t="s">
        <v>276</v>
      </c>
      <c r="C11" s="32" t="n">
        <f aca="false">Historicals!C38+Historicals!C39+Historicals!C40</f>
        <v>70857.01</v>
      </c>
      <c r="D11" s="32" t="n">
        <f aca="false">Historicals!D38+Historicals!D39+Historicals!D40</f>
        <v>87197.711</v>
      </c>
      <c r="E11" s="32" t="n">
        <f aca="false">Historicals!E38+Historicals!E39+Historicals!E40</f>
        <v>79379.663</v>
      </c>
      <c r="F11" s="32" t="n">
        <f aca="false">Historicals!F38+Historicals!F39+Historicals!F40</f>
        <v>89920.501</v>
      </c>
      <c r="G11" s="32" t="n">
        <f aca="false">Historicals!G38+Historicals!G39+Historicals!G40</f>
        <v>121716.564</v>
      </c>
      <c r="I11" s="32" t="n">
        <f aca="false">Historicals!I38+Historicals!I39+Historicals!I40</f>
        <v>91443.153</v>
      </c>
      <c r="J11" s="32" t="n">
        <f aca="false">Historicals!J38+Historicals!J39+Historicals!J40</f>
        <v>142946.774</v>
      </c>
    </row>
    <row r="12" customFormat="false" ht="15" hidden="false" customHeight="false" outlineLevel="0" collapsed="false">
      <c r="A12" s="6" t="s">
        <v>142</v>
      </c>
      <c r="C12" s="13" t="n">
        <f aca="false">Historicals!C41</f>
        <v>66107.351</v>
      </c>
      <c r="D12" s="13" t="n">
        <f aca="false">Historicals!D41</f>
        <v>79844.364</v>
      </c>
      <c r="E12" s="13" t="n">
        <f aca="false">Historicals!E41</f>
        <v>76226.562</v>
      </c>
      <c r="F12" s="13" t="n">
        <f aca="false">Historicals!F41</f>
        <v>83856.341</v>
      </c>
      <c r="G12" s="13" t="n">
        <f aca="false">Historicals!G41</f>
        <v>101478.308</v>
      </c>
      <c r="I12" s="13" t="n">
        <f aca="false">Historicals!I41</f>
        <v>81529.671</v>
      </c>
      <c r="J12" s="13" t="n">
        <f aca="false">Historicals!J41</f>
        <v>139394.174</v>
      </c>
    </row>
    <row r="13" customFormat="false" ht="15" hidden="false" customHeight="false" outlineLevel="0" collapsed="false">
      <c r="A13" s="6" t="s">
        <v>277</v>
      </c>
      <c r="B13" s="4" t="s">
        <v>278</v>
      </c>
      <c r="C13" s="32" t="n">
        <f aca="false">Historicals!C42-SUM(C9:C12)</f>
        <v>8645.813</v>
      </c>
      <c r="D13" s="32" t="n">
        <f aca="false">Historicals!D42-SUM(D9:D12)</f>
        <v>9836.56099999996</v>
      </c>
      <c r="E13" s="32" t="n">
        <f aca="false">Historicals!E42-SUM(E9:E12)</f>
        <v>11732.402</v>
      </c>
      <c r="F13" s="32" t="n">
        <f aca="false">Historicals!F42-SUM(F9:F12)</f>
        <v>15355.464</v>
      </c>
      <c r="G13" s="32" t="n">
        <f aca="false">Historicals!G42-SUM(G9:G12)</f>
        <v>17473.042</v>
      </c>
      <c r="I13" s="32" t="n">
        <f aca="false">Historicals!I42-SUM(I9:I12)</f>
        <v>15293.042</v>
      </c>
      <c r="J13" s="32" t="n">
        <f aca="false">Historicals!J42-SUM(J9:J12)</f>
        <v>18109.593</v>
      </c>
    </row>
    <row r="14" customFormat="false" ht="15" hidden="false" customHeight="false" outlineLevel="0" collapsed="false">
      <c r="A14" s="5" t="s">
        <v>279</v>
      </c>
      <c r="C14" s="33" t="n">
        <f aca="false">SUM(C9:C13)</f>
        <v>196878.194</v>
      </c>
      <c r="D14" s="33" t="n">
        <f aca="false">SUM(D9:D13)</f>
        <v>240450.466</v>
      </c>
      <c r="E14" s="33" t="n">
        <f aca="false">SUM(E9:E13)</f>
        <v>259958.184</v>
      </c>
      <c r="F14" s="33" t="n">
        <f aca="false">SUM(F9:F13)</f>
        <v>310924.848</v>
      </c>
      <c r="G14" s="33" t="n">
        <f aca="false">SUM(G9:G13)</f>
        <v>395780.787</v>
      </c>
      <c r="I14" s="33" t="n">
        <f aca="false">SUM(I9:I13)</f>
        <v>331615.258</v>
      </c>
      <c r="J14" s="33" t="n">
        <f aca="false">SUM(J9:J13)</f>
        <v>487049.6</v>
      </c>
    </row>
    <row r="15" customFormat="false" ht="15" hidden="false" customHeight="false" outlineLevel="0" collapsed="false">
      <c r="A15" s="6" t="s">
        <v>280</v>
      </c>
      <c r="C15" s="32" t="n">
        <f aca="false">Historicals!C43+Historicals!C44+Historicals!C45+Historicals!C46</f>
        <v>5003.372</v>
      </c>
      <c r="D15" s="32" t="n">
        <f aca="false">Historicals!D43+Historicals!D44+Historicals!D45+Historicals!D46</f>
        <v>4604.61</v>
      </c>
      <c r="E15" s="32" t="n">
        <f aca="false">Historicals!E43+Historicals!E44+Historicals!E45+Historicals!E46</f>
        <v>3461.828</v>
      </c>
      <c r="F15" s="32" t="n">
        <f aca="false">Historicals!F43+Historicals!F44+Historicals!F45+Historicals!F46</f>
        <v>3783.828</v>
      </c>
      <c r="G15" s="32" t="n">
        <f aca="false">Historicals!G43+Historicals!G44+Historicals!G45+Historicals!G46</f>
        <v>3923.243</v>
      </c>
      <c r="I15" s="32" t="n">
        <f aca="false">Historicals!I43+Historicals!I44+Historicals!I45+Historicals!I46</f>
        <v>3490.199</v>
      </c>
      <c r="J15" s="32" t="n">
        <f aca="false">Historicals!J43+Historicals!J44+Historicals!J45+Historicals!J46</f>
        <v>7987.657</v>
      </c>
    </row>
    <row r="16" customFormat="false" ht="15" hidden="false" customHeight="false" outlineLevel="0" collapsed="false">
      <c r="A16" s="6" t="s">
        <v>148</v>
      </c>
      <c r="C16" s="13" t="n">
        <f aca="false">Historicals!C47</f>
        <v>76607.285</v>
      </c>
      <c r="D16" s="13" t="n">
        <f aca="false">Historicals!D47</f>
        <v>86266.587</v>
      </c>
      <c r="E16" s="13" t="n">
        <f aca="false">Historicals!E47</f>
        <v>98001.515</v>
      </c>
      <c r="F16" s="13" t="n">
        <f aca="false">Historicals!F47</f>
        <v>115710.424</v>
      </c>
      <c r="G16" s="13" t="n">
        <f aca="false">Historicals!G47</f>
        <v>142039.843</v>
      </c>
      <c r="I16" s="13" t="n">
        <f aca="false">Historicals!I47</f>
        <v>117057.726</v>
      </c>
      <c r="J16" s="13" t="n">
        <f aca="false">Historicals!J47</f>
        <v>158397.548</v>
      </c>
    </row>
    <row r="17" customFormat="false" ht="15" hidden="false" customHeight="false" outlineLevel="0" collapsed="false">
      <c r="A17" s="6" t="s">
        <v>149</v>
      </c>
      <c r="C17" s="13" t="n">
        <f aca="false">Historicals!C48</f>
        <v>3006.96</v>
      </c>
      <c r="D17" s="13" t="n">
        <f aca="false">Historicals!D48</f>
        <v>5086.323</v>
      </c>
      <c r="E17" s="13" t="n">
        <f aca="false">Historicals!E48</f>
        <v>4834.885</v>
      </c>
      <c r="F17" s="13" t="n">
        <f aca="false">Historicals!F48</f>
        <v>4511.414</v>
      </c>
      <c r="G17" s="13" t="n">
        <f aca="false">Historicals!G48</f>
        <v>4559.183</v>
      </c>
      <c r="I17" s="13" t="n">
        <f aca="false">Historicals!I48</f>
        <v>4319.248</v>
      </c>
      <c r="J17" s="13" t="n">
        <f aca="false">Historicals!J48</f>
        <v>4903.607</v>
      </c>
    </row>
    <row r="18" customFormat="false" ht="15" hidden="false" customHeight="false" outlineLevel="0" collapsed="false">
      <c r="A18" s="6" t="s">
        <v>151</v>
      </c>
      <c r="C18" s="13" t="n">
        <f aca="false">Historicals!C50</f>
        <v>73609.564</v>
      </c>
      <c r="D18" s="13" t="n">
        <f aca="false">Historicals!D50</f>
        <v>77169.854</v>
      </c>
      <c r="E18" s="13" t="n">
        <f aca="false">Historicals!E50</f>
        <v>78544.404</v>
      </c>
      <c r="F18" s="13" t="n">
        <f aca="false">Historicals!F50</f>
        <v>78782.813</v>
      </c>
      <c r="G18" s="13" t="n">
        <f aca="false">Historicals!G50</f>
        <v>75326.273</v>
      </c>
      <c r="I18" s="13" t="n">
        <f aca="false">Historicals!I50</f>
        <v>71869.905</v>
      </c>
      <c r="J18" s="13" t="n">
        <f aca="false">Historicals!J50</f>
        <v>74962.513</v>
      </c>
    </row>
    <row r="19" customFormat="false" ht="15" hidden="false" customHeight="false" outlineLevel="0" collapsed="false">
      <c r="A19" s="6" t="s">
        <v>281</v>
      </c>
      <c r="B19" s="4" t="s">
        <v>282</v>
      </c>
      <c r="C19" s="32" t="n">
        <f aca="false">Historicals!C51-SUM(C15:C18)</f>
        <v>10006.935</v>
      </c>
      <c r="D19" s="32" t="n">
        <f aca="false">Historicals!D51-SUM(D15:D18)</f>
        <v>12295.966</v>
      </c>
      <c r="E19" s="32" t="n">
        <f aca="false">Historicals!E51-SUM(E15:E18)</f>
        <v>12945.762</v>
      </c>
      <c r="F19" s="32" t="n">
        <f aca="false">Historicals!F51-SUM(F15:F18)</f>
        <v>18184.39</v>
      </c>
      <c r="G19" s="32" t="n">
        <f aca="false">Historicals!G51-SUM(G15:G18)</f>
        <v>17989.271</v>
      </c>
      <c r="I19" s="32" t="n">
        <f aca="false">Historicals!I51-SUM(I15:I18)</f>
        <v>18066.58</v>
      </c>
      <c r="J19" s="32" t="n">
        <f aca="false">Historicals!J51-SUM(J15:J18)</f>
        <v>21132.407</v>
      </c>
    </row>
    <row r="20" customFormat="false" ht="15" hidden="false" customHeight="false" outlineLevel="0" collapsed="false">
      <c r="A20" s="5" t="s">
        <v>283</v>
      </c>
      <c r="C20" s="33" t="n">
        <f aca="false">SUM(C15:C19)</f>
        <v>168234.116</v>
      </c>
      <c r="D20" s="33" t="n">
        <f aca="false">SUM(D15:D19)</f>
        <v>185423.34</v>
      </c>
      <c r="E20" s="33" t="n">
        <f aca="false">SUM(E15:E19)</f>
        <v>197788.394</v>
      </c>
      <c r="F20" s="33" t="n">
        <f aca="false">SUM(F15:F19)</f>
        <v>220972.869</v>
      </c>
      <c r="G20" s="33" t="n">
        <f aca="false">SUM(G15:G19)</f>
        <v>243837.813</v>
      </c>
      <c r="I20" s="33" t="n">
        <f aca="false">SUM(I15:I19)</f>
        <v>214803.658</v>
      </c>
      <c r="J20" s="33" t="n">
        <f aca="false">SUM(J15:J19)</f>
        <v>267383.732</v>
      </c>
    </row>
    <row r="21" customFormat="false" ht="15" hidden="false" customHeight="false" outlineLevel="0" collapsed="false">
      <c r="A21" s="5" t="s">
        <v>284</v>
      </c>
      <c r="C21" s="33" t="n">
        <f aca="false">C14+C20</f>
        <v>365112.31</v>
      </c>
      <c r="D21" s="33" t="n">
        <f aca="false">D14+D20</f>
        <v>425873.806</v>
      </c>
      <c r="E21" s="33" t="n">
        <f aca="false">E14+E20</f>
        <v>457746.578</v>
      </c>
      <c r="F21" s="33" t="n">
        <f aca="false">F14+F20</f>
        <v>531897.717</v>
      </c>
      <c r="G21" s="33" t="n">
        <f aca="false">G14+G20</f>
        <v>639618.6</v>
      </c>
      <c r="I21" s="33" t="n">
        <f aca="false">I14+I20</f>
        <v>546418.916</v>
      </c>
      <c r="J21" s="33" t="n">
        <f aca="false">J14+J20</f>
        <v>754433.332</v>
      </c>
    </row>
    <row r="23" customFormat="false" ht="15" hidden="false" customHeight="false" outlineLevel="0" collapsed="false">
      <c r="A23" s="23" t="s">
        <v>285</v>
      </c>
      <c r="B23" s="24"/>
      <c r="C23" s="24"/>
      <c r="D23" s="24"/>
      <c r="E23" s="24"/>
      <c r="F23" s="24"/>
      <c r="G23" s="24"/>
      <c r="I23" s="24"/>
      <c r="J23" s="24"/>
    </row>
    <row r="24" customFormat="false" ht="15" hidden="false" customHeight="false" outlineLevel="0" collapsed="false">
      <c r="A24" s="6" t="s">
        <v>286</v>
      </c>
      <c r="B24" s="4" t="s">
        <v>287</v>
      </c>
      <c r="C24" s="32" t="n">
        <f aca="false">Historicals!C53+Historicals!C57</f>
        <v>4397.362</v>
      </c>
      <c r="D24" s="32" t="n">
        <f aca="false">Historicals!D53+Historicals!D57</f>
        <v>2076.762</v>
      </c>
      <c r="E24" s="32" t="n">
        <f aca="false">Historicals!E53+Historicals!E57</f>
        <v>5874.566</v>
      </c>
      <c r="F24" s="32" t="n">
        <f aca="false">Historicals!F53+Historicals!F57</f>
        <v>8120.963</v>
      </c>
      <c r="G24" s="32" t="n">
        <f aca="false">Historicals!G53+Historicals!G57</f>
        <v>17325.012</v>
      </c>
      <c r="I24" s="32" t="n">
        <f aca="false">Historicals!I53+Historicals!I57</f>
        <v>21805.38</v>
      </c>
      <c r="J24" s="32" t="n">
        <f aca="false">Historicals!J53+Historicals!J57</f>
        <v>22606.896</v>
      </c>
    </row>
    <row r="25" customFormat="false" ht="15" hidden="false" customHeight="false" outlineLevel="0" collapsed="false">
      <c r="A25" s="6" t="s">
        <v>288</v>
      </c>
      <c r="B25" s="4" t="s">
        <v>276</v>
      </c>
      <c r="C25" s="32" t="n">
        <f aca="false">Historicals!C54+Historicals!C55+Historicals!C56</f>
        <v>54569.925</v>
      </c>
      <c r="D25" s="32" t="n">
        <f aca="false">Historicals!D54+Historicals!D55+Historicals!D56</f>
        <v>62715.67</v>
      </c>
      <c r="E25" s="32" t="n">
        <f aca="false">Historicals!E54+Historicals!E55+Historicals!E56</f>
        <v>53538.944</v>
      </c>
      <c r="F25" s="32" t="n">
        <f aca="false">Historicals!F54+Historicals!F55+Historicals!F56</f>
        <v>69223.251</v>
      </c>
      <c r="G25" s="32" t="n">
        <f aca="false">Historicals!G54+Historicals!G55+Historicals!G56</f>
        <v>94451.507</v>
      </c>
      <c r="I25" s="32" t="n">
        <f aca="false">Historicals!I54+Historicals!I55+Historicals!I56</f>
        <v>69448.125</v>
      </c>
      <c r="J25" s="32" t="n">
        <f aca="false">Historicals!J54+Historicals!J55+Historicals!J56</f>
        <v>116655.061</v>
      </c>
    </row>
    <row r="26" customFormat="false" ht="15" hidden="false" customHeight="false" outlineLevel="0" collapsed="false">
      <c r="A26" s="6" t="s">
        <v>289</v>
      </c>
      <c r="B26" s="4" t="s">
        <v>290</v>
      </c>
      <c r="C26" s="32" t="n">
        <f aca="false">Historicals!C59-C24-C25</f>
        <v>49202.19</v>
      </c>
      <c r="D26" s="32" t="n">
        <f aca="false">Historicals!D59-D24-D25</f>
        <v>60220.996</v>
      </c>
      <c r="E26" s="32" t="n">
        <f aca="false">Historicals!E59-E24-E25</f>
        <v>66671.043</v>
      </c>
      <c r="F26" s="32" t="n">
        <f aca="false">Historicals!F59-F24-F25</f>
        <v>74938.912</v>
      </c>
      <c r="G26" s="32" t="n">
        <f aca="false">Historicals!G59-G24-G25</f>
        <v>97888.47</v>
      </c>
      <c r="I26" s="32" t="n">
        <f aca="false">Historicals!I59-I24-I25</f>
        <v>92702.314</v>
      </c>
      <c r="J26" s="32" t="n">
        <f aca="false">Historicals!J59-J24-J25</f>
        <v>165240.235</v>
      </c>
    </row>
    <row r="27" customFormat="false" ht="15" hidden="false" customHeight="false" outlineLevel="0" collapsed="false">
      <c r="A27" s="5" t="s">
        <v>291</v>
      </c>
      <c r="C27" s="33" t="n">
        <f aca="false">SUM(C24:C26)</f>
        <v>108169.477</v>
      </c>
      <c r="D27" s="33" t="n">
        <f aca="false">SUM(D24:D26)</f>
        <v>125013.428</v>
      </c>
      <c r="E27" s="33" t="n">
        <f aca="false">SUM(E24:E26)</f>
        <v>126084.553</v>
      </c>
      <c r="F27" s="33" t="n">
        <f aca="false">SUM(F24:F26)</f>
        <v>152283.126</v>
      </c>
      <c r="G27" s="33" t="n">
        <f aca="false">SUM(G24:G26)</f>
        <v>209664.989</v>
      </c>
      <c r="I27" s="33" t="n">
        <f aca="false">SUM(I24:I26)</f>
        <v>183955.819</v>
      </c>
      <c r="J27" s="33" t="n">
        <f aca="false">SUM(J24:J26)</f>
        <v>304502.192</v>
      </c>
    </row>
    <row r="28" customFormat="false" ht="15" hidden="false" customHeight="false" outlineLevel="0" collapsed="false">
      <c r="A28" s="6" t="s">
        <v>292</v>
      </c>
      <c r="B28" s="4" t="s">
        <v>293</v>
      </c>
      <c r="C28" s="32" t="n">
        <f aca="false">Historicals!C60+Historicals!C61</f>
        <v>43913.787</v>
      </c>
      <c r="D28" s="32" t="n">
        <f aca="false">Historicals!D60+Historicals!D61</f>
        <v>44337.342</v>
      </c>
      <c r="E28" s="32" t="n">
        <f aca="false">Historicals!E60+Historicals!E61</f>
        <v>51420.422</v>
      </c>
      <c r="F28" s="32" t="n">
        <f aca="false">Historicals!F60+Historicals!F61</f>
        <v>56308.906</v>
      </c>
      <c r="G28" s="32" t="n">
        <f aca="false">Historicals!G60+Historicals!G61</f>
        <v>56703.273</v>
      </c>
      <c r="I28" s="32" t="n">
        <f aca="false">Historicals!I60+Historicals!I61</f>
        <v>58648.36</v>
      </c>
      <c r="J28" s="32" t="n">
        <f aca="false">Historicals!J60+Historicals!J61</f>
        <v>48031.344</v>
      </c>
    </row>
    <row r="29" customFormat="false" ht="15" hidden="false" customHeight="false" outlineLevel="0" collapsed="false">
      <c r="A29" s="6" t="s">
        <v>294</v>
      </c>
      <c r="C29" s="13" t="n">
        <f aca="false">Historicals!C62</f>
        <v>1366.401</v>
      </c>
      <c r="D29" s="13" t="n">
        <f aca="false">Historicals!D62</f>
        <v>2302.735</v>
      </c>
      <c r="E29" s="13" t="n">
        <f aca="false">Historicals!E62</f>
        <v>2555.275</v>
      </c>
      <c r="F29" s="13" t="n">
        <f aca="false">Historicals!F62</f>
        <v>2217.571</v>
      </c>
      <c r="G29" s="13" t="n">
        <f aca="false">Historicals!G62</f>
        <v>2495.985</v>
      </c>
      <c r="I29" s="13" t="n">
        <f aca="false">Historicals!I62</f>
        <v>2377.877</v>
      </c>
      <c r="J29" s="13" t="n">
        <f aca="false">Historicals!J62</f>
        <v>2713.736</v>
      </c>
    </row>
    <row r="30" customFormat="false" ht="15" hidden="false" customHeight="false" outlineLevel="0" collapsed="false">
      <c r="A30" s="6" t="s">
        <v>295</v>
      </c>
      <c r="B30" s="4" t="s">
        <v>296</v>
      </c>
      <c r="C30" s="32" t="n">
        <f aca="false">Historicals!C63-C28-C29</f>
        <v>25537.987</v>
      </c>
      <c r="D30" s="32" t="n">
        <f aca="false">Historicals!D63-D28-D29</f>
        <v>28853.116</v>
      </c>
      <c r="E30" s="32" t="n">
        <f aca="false">Historicals!E63-E28-E29</f>
        <v>34950.835</v>
      </c>
      <c r="F30" s="32" t="n">
        <f aca="false">Historicals!F63-F28-F29</f>
        <v>41522.778</v>
      </c>
      <c r="G30" s="32" t="n">
        <f aca="false">Historicals!G63-G28-G29</f>
        <v>45365.35</v>
      </c>
      <c r="I30" s="32" t="n">
        <f aca="false">Historicals!I63-I28-I29</f>
        <v>40538.997</v>
      </c>
      <c r="J30" s="32" t="n">
        <f aca="false">Historicals!J63-J28-J29</f>
        <v>48961.168</v>
      </c>
    </row>
    <row r="31" customFormat="false" ht="15" hidden="false" customHeight="false" outlineLevel="0" collapsed="false">
      <c r="A31" s="5" t="s">
        <v>297</v>
      </c>
      <c r="C31" s="33" t="n">
        <f aca="false">SUM(C28:C30)</f>
        <v>70818.175</v>
      </c>
      <c r="D31" s="33" t="n">
        <f aca="false">SUM(D28:D30)</f>
        <v>75493.193</v>
      </c>
      <c r="E31" s="33" t="n">
        <f aca="false">SUM(E28:E30)</f>
        <v>88926.532</v>
      </c>
      <c r="F31" s="33" t="n">
        <f aca="false">SUM(F28:F30)</f>
        <v>100049.255</v>
      </c>
      <c r="G31" s="33" t="n">
        <f aca="false">SUM(G28:G30)</f>
        <v>104564.608</v>
      </c>
      <c r="I31" s="33" t="n">
        <f aca="false">SUM(I28:I30)</f>
        <v>101565.234</v>
      </c>
      <c r="J31" s="33" t="n">
        <f aca="false">SUM(J28:J30)</f>
        <v>99706.248</v>
      </c>
    </row>
    <row r="32" customFormat="false" ht="15" hidden="false" customHeight="false" outlineLevel="0" collapsed="false">
      <c r="A32" s="5" t="s">
        <v>298</v>
      </c>
      <c r="C32" s="33" t="n">
        <f aca="false">C27+C31</f>
        <v>178987.652</v>
      </c>
      <c r="D32" s="33" t="n">
        <f aca="false">D27+D31</f>
        <v>200506.621</v>
      </c>
      <c r="E32" s="33" t="n">
        <f aca="false">E27+E31</f>
        <v>215011.085</v>
      </c>
      <c r="F32" s="33" t="n">
        <f aca="false">F27+F31</f>
        <v>252332.381</v>
      </c>
      <c r="G32" s="33" t="n">
        <f aca="false">G27+G31</f>
        <v>314229.597</v>
      </c>
      <c r="I32" s="33" t="n">
        <f aca="false">I27+I31</f>
        <v>285521.053</v>
      </c>
      <c r="J32" s="33" t="n">
        <f aca="false">J27+J31</f>
        <v>404208.44</v>
      </c>
    </row>
    <row r="33" customFormat="false" ht="15" hidden="false" customHeight="false" outlineLevel="0" collapsed="false">
      <c r="A33" s="6" t="s">
        <v>167</v>
      </c>
      <c r="C33" s="13" t="n">
        <f aca="false">Historicals!C66</f>
        <v>154786.522</v>
      </c>
      <c r="D33" s="13" t="n">
        <f aca="false">Historicals!D66</f>
        <v>186788.907</v>
      </c>
      <c r="E33" s="13" t="n">
        <f aca="false">Historicals!E66</f>
        <v>199163.778</v>
      </c>
      <c r="F33" s="13" t="n">
        <f aca="false">Historicals!F66</f>
        <v>230087.286</v>
      </c>
      <c r="G33" s="13" t="n">
        <f aca="false">Historicals!G66</f>
        <v>268057.976</v>
      </c>
      <c r="I33" s="13" t="n">
        <f aca="false">Historicals!I66</f>
        <v>212197.761</v>
      </c>
      <c r="J33" s="13" t="n">
        <f aca="false">Historicals!J66</f>
        <v>293710.74</v>
      </c>
    </row>
    <row r="34" customFormat="false" ht="15" hidden="false" customHeight="false" outlineLevel="0" collapsed="false">
      <c r="A34" s="6" t="s">
        <v>168</v>
      </c>
      <c r="C34" s="13" t="n">
        <f aca="false">Historicals!C67</f>
        <v>31338.136</v>
      </c>
      <c r="D34" s="13" t="n">
        <f aca="false">Historicals!D67</f>
        <v>38578.278</v>
      </c>
      <c r="E34" s="13" t="n">
        <f aca="false">Historicals!E67</f>
        <v>43571.715</v>
      </c>
      <c r="F34" s="13" t="n">
        <f aca="false">Historicals!F67</f>
        <v>49478.05</v>
      </c>
      <c r="G34" s="13" t="n">
        <f aca="false">Historicals!G67</f>
        <v>57331.027</v>
      </c>
      <c r="I34" s="13" t="n">
        <f aca="false">Historicals!I67</f>
        <v>48700.102</v>
      </c>
      <c r="J34" s="13" t="n">
        <f aca="false">Historicals!J67</f>
        <v>56514.152</v>
      </c>
    </row>
    <row r="35" customFormat="false" ht="15" hidden="false" customHeight="false" outlineLevel="0" collapsed="false">
      <c r="A35" s="5" t="s">
        <v>299</v>
      </c>
      <c r="C35" s="33" t="n">
        <f aca="false">C33+C34</f>
        <v>186124.658</v>
      </c>
      <c r="D35" s="33" t="n">
        <f aca="false">D33+D34</f>
        <v>225367.185</v>
      </c>
      <c r="E35" s="33" t="n">
        <f aca="false">E33+E34</f>
        <v>242735.493</v>
      </c>
      <c r="F35" s="33" t="n">
        <f aca="false">F33+F34</f>
        <v>279565.336</v>
      </c>
      <c r="G35" s="33" t="n">
        <f aca="false">G33+G34</f>
        <v>325389.003</v>
      </c>
      <c r="I35" s="33" t="n">
        <f aca="false">I33+I34</f>
        <v>260897.863</v>
      </c>
      <c r="J35" s="33" t="n">
        <f aca="false">J33+J34</f>
        <v>350224.892</v>
      </c>
    </row>
    <row r="36" customFormat="false" ht="15" hidden="false" customHeight="false" outlineLevel="0" collapsed="false">
      <c r="A36" s="5" t="s">
        <v>300</v>
      </c>
      <c r="C36" s="33" t="n">
        <f aca="false">C32+C35</f>
        <v>365112.31</v>
      </c>
      <c r="D36" s="33" t="n">
        <f aca="false">D32+D35</f>
        <v>425873.806</v>
      </c>
      <c r="E36" s="33" t="n">
        <f aca="false">E32+E35</f>
        <v>457746.578</v>
      </c>
      <c r="F36" s="33" t="n">
        <f aca="false">F32+F35</f>
        <v>531897.717</v>
      </c>
      <c r="G36" s="33" t="n">
        <f aca="false">G32+G35</f>
        <v>639618.6</v>
      </c>
      <c r="I36" s="33" t="n">
        <f aca="false">I32+I35</f>
        <v>546418.916</v>
      </c>
      <c r="J36" s="33" t="n">
        <f aca="false">J32+J35</f>
        <v>754433.332</v>
      </c>
    </row>
    <row r="37" customFormat="false" ht="15" hidden="false" customHeight="false" outlineLevel="0" collapsed="false">
      <c r="A37" s="6" t="s">
        <v>301</v>
      </c>
      <c r="B37" s="4" t="s">
        <v>302</v>
      </c>
      <c r="C37" s="32" t="n">
        <f aca="false">C21-C36</f>
        <v>0</v>
      </c>
      <c r="D37" s="32" t="n">
        <f aca="false">D21-D36</f>
        <v>0</v>
      </c>
      <c r="E37" s="32" t="n">
        <f aca="false">E21-E36</f>
        <v>0</v>
      </c>
      <c r="F37" s="32" t="n">
        <f aca="false">F21-F36</f>
        <v>0</v>
      </c>
      <c r="G37" s="32" t="n">
        <f aca="false">G21-G36</f>
        <v>0</v>
      </c>
      <c r="I37" s="32" t="n">
        <f aca="false">I21-I36</f>
        <v>0</v>
      </c>
      <c r="J37" s="32" t="n">
        <f aca="false">J21-J36</f>
        <v>0</v>
      </c>
    </row>
    <row r="39" customFormat="false" ht="15" hidden="false" customHeight="false" outlineLevel="0" collapsed="false">
      <c r="A39" s="23" t="s">
        <v>258</v>
      </c>
      <c r="B39" s="24"/>
      <c r="C39" s="24"/>
      <c r="D39" s="24"/>
      <c r="E39" s="24"/>
      <c r="F39" s="24"/>
      <c r="G39" s="24"/>
      <c r="I39" s="24"/>
      <c r="J39" s="24"/>
    </row>
    <row r="40" customFormat="false" ht="15" hidden="false" customHeight="false" outlineLevel="0" collapsed="false">
      <c r="A40" s="5" t="s">
        <v>303</v>
      </c>
      <c r="C40" s="39" t="n">
        <f aca="false">C24+C28</f>
        <v>48311.149</v>
      </c>
      <c r="D40" s="39" t="n">
        <f aca="false">D24+D28</f>
        <v>46414.104</v>
      </c>
      <c r="E40" s="39" t="n">
        <f aca="false">E24+E28</f>
        <v>57294.988</v>
      </c>
      <c r="F40" s="39" t="n">
        <f aca="false">F24+F28</f>
        <v>64429.869</v>
      </c>
      <c r="G40" s="39" t="n">
        <f aca="false">G24+G28</f>
        <v>74028.285</v>
      </c>
      <c r="I40" s="39" t="n">
        <f aca="false">I24+I28</f>
        <v>80453.74</v>
      </c>
      <c r="J40" s="39" t="n">
        <f aca="false">J24+J28</f>
        <v>70638.24</v>
      </c>
    </row>
    <row r="41" customFormat="false" ht="15" hidden="false" customHeight="false" outlineLevel="0" collapsed="false">
      <c r="A41" s="6" t="s">
        <v>34</v>
      </c>
      <c r="B41" s="4" t="s">
        <v>304</v>
      </c>
      <c r="C41" s="32" t="n">
        <f aca="false">C40-C9-C10</f>
        <v>-2956.871</v>
      </c>
      <c r="D41" s="32" t="n">
        <f aca="false">D40-D9-D10</f>
        <v>-17157.726</v>
      </c>
      <c r="E41" s="32" t="n">
        <f aca="false">E40-E9-E10</f>
        <v>-35324.569</v>
      </c>
      <c r="F41" s="32" t="n">
        <f aca="false">F40-F9-F10</f>
        <v>-57362.673</v>
      </c>
      <c r="G41" s="32" t="n">
        <f aca="false">G40-G9-G10</f>
        <v>-81084.588</v>
      </c>
      <c r="I41" s="32" t="n">
        <f aca="false">I40-I9-I10</f>
        <v>-62895.652</v>
      </c>
      <c r="J41" s="32" t="n">
        <f aca="false">J40-J9-J10</f>
        <v>-115960.819</v>
      </c>
    </row>
    <row r="42" customFormat="false" ht="15" hidden="false" customHeight="false" outlineLevel="0" collapsed="false">
      <c r="A42" s="6" t="s">
        <v>305</v>
      </c>
      <c r="B42" s="4" t="s">
        <v>306</v>
      </c>
      <c r="C42" s="32" t="n">
        <f aca="false">C11+C12-C25</f>
        <v>82394.436</v>
      </c>
      <c r="D42" s="32" t="n">
        <f aca="false">D11+D12-D25</f>
        <v>104326.405</v>
      </c>
      <c r="E42" s="32" t="n">
        <f aca="false">E11+E12-E25</f>
        <v>102067.281</v>
      </c>
      <c r="F42" s="32" t="n">
        <f aca="false">F11+F12-F25</f>
        <v>104553.591</v>
      </c>
      <c r="G42" s="32" t="n">
        <f aca="false">G11+G12-G25</f>
        <v>128743.365</v>
      </c>
      <c r="I42" s="32" t="n">
        <f aca="false">I11+I12-I25</f>
        <v>103524.699</v>
      </c>
      <c r="J42" s="32" t="n">
        <f aca="false">J11+J12-J25</f>
        <v>165685.887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7" min="3" style="1" width="12"/>
    <col collapsed="false" customWidth="true" hidden="false" outlineLevel="0" max="8" min="8" style="1" width="3"/>
    <col collapsed="false" customWidth="true" hidden="false" outlineLevel="0" max="10" min="9" style="1" width="12"/>
  </cols>
  <sheetData>
    <row r="1" customFormat="false" ht="17.35" hidden="false" customHeight="false" outlineLevel="0" collapsed="false">
      <c r="A1" s="18" t="s">
        <v>171</v>
      </c>
    </row>
    <row r="2" customFormat="false" ht="15" hidden="false" customHeight="false" outlineLevel="0" collapsed="false">
      <c r="A2" s="19" t="s">
        <v>307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6"/>
      <c r="I4" s="19" t="s">
        <v>105</v>
      </c>
    </row>
    <row r="5" customFormat="false" ht="15" hidden="false" customHeight="false" outlineLevel="0" collapsed="false">
      <c r="A5" s="21" t="s">
        <v>57</v>
      </c>
      <c r="B5" s="21" t="s">
        <v>58</v>
      </c>
      <c r="C5" s="12" t="s">
        <v>59</v>
      </c>
      <c r="D5" s="12" t="s">
        <v>60</v>
      </c>
      <c r="E5" s="12" t="s">
        <v>26</v>
      </c>
      <c r="F5" s="12" t="s">
        <v>27</v>
      </c>
      <c r="G5" s="12" t="s">
        <v>28</v>
      </c>
      <c r="I5" s="12" t="s">
        <v>106</v>
      </c>
      <c r="J5" s="12" t="s">
        <v>29</v>
      </c>
    </row>
    <row r="6" customFormat="false" ht="15" hidden="false" customHeight="false" outlineLevel="0" collapsed="false"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  <c r="I6" s="22" t="s">
        <v>107</v>
      </c>
      <c r="J6" s="22" t="s">
        <v>108</v>
      </c>
    </row>
    <row r="8" customFormat="false" ht="15" hidden="false" customHeight="false" outlineLevel="0" collapsed="false">
      <c r="A8" s="23" t="s">
        <v>308</v>
      </c>
      <c r="B8" s="24"/>
      <c r="C8" s="24"/>
      <c r="D8" s="24"/>
      <c r="E8" s="24"/>
      <c r="F8" s="24"/>
      <c r="G8" s="24"/>
      <c r="I8" s="24"/>
      <c r="J8" s="24"/>
    </row>
    <row r="9" customFormat="false" ht="15" hidden="false" customHeight="false" outlineLevel="0" collapsed="false">
      <c r="A9" s="6" t="s">
        <v>250</v>
      </c>
      <c r="C9" s="13" t="n">
        <f aca="false">Historicals!C72</f>
        <v>35627.547</v>
      </c>
      <c r="D9" s="13" t="n">
        <f aca="false">Historicals!D72</f>
        <v>46065.298</v>
      </c>
      <c r="E9" s="13" t="n">
        <f aca="false">Historicals!E72</f>
        <v>48642.111</v>
      </c>
      <c r="F9" s="13" t="n">
        <f aca="false">Historicals!F72</f>
        <v>51315.628</v>
      </c>
      <c r="G9" s="13" t="n">
        <f aca="false">Historicals!G72</f>
        <v>87865.996</v>
      </c>
      <c r="I9" s="13" t="n">
        <f aca="false">Historicals!I72</f>
        <v>35234.087</v>
      </c>
      <c r="J9" s="13" t="n">
        <f aca="false">Historicals!J72</f>
        <v>66092.437</v>
      </c>
    </row>
    <row r="10" customFormat="false" ht="15" hidden="false" customHeight="false" outlineLevel="0" collapsed="false">
      <c r="A10" s="6" t="s">
        <v>259</v>
      </c>
      <c r="C10" s="32" t="n">
        <f aca="false">Historicals!C73+Historicals!C74</f>
        <v>17151.303</v>
      </c>
      <c r="D10" s="32" t="n">
        <f aca="false">Historicals!D73+Historicals!D74</f>
        <v>18936.175</v>
      </c>
      <c r="E10" s="32" t="n">
        <f aca="false">Historicals!E73+Historicals!E74</f>
        <v>21589.753</v>
      </c>
      <c r="F10" s="32" t="n">
        <f aca="false">Historicals!F73+Historicals!F74</f>
        <v>25016.172</v>
      </c>
      <c r="G10" s="32" t="n">
        <f aca="false">Historicals!G73+Historicals!G74</f>
        <v>27839.061</v>
      </c>
      <c r="I10" s="32" t="n">
        <f aca="false">Historicals!I73+Historicals!I74</f>
        <v>13579.013</v>
      </c>
      <c r="J10" s="32" t="n">
        <f aca="false">Historicals!J73+Historicals!J74</f>
        <v>16222.01</v>
      </c>
    </row>
    <row r="11" customFormat="false" ht="15" hidden="false" customHeight="false" outlineLevel="0" collapsed="false">
      <c r="A11" s="6" t="s">
        <v>309</v>
      </c>
      <c r="C11" s="13" t="n">
        <f aca="false">Historicals!C75</f>
        <v>-7683.037</v>
      </c>
      <c r="D11" s="13" t="n">
        <f aca="false">Historicals!D75</f>
        <v>-15664.563</v>
      </c>
      <c r="E11" s="13" t="n">
        <f aca="false">Historicals!E75</f>
        <v>7245.438</v>
      </c>
      <c r="F11" s="13" t="n">
        <f aca="false">Historicals!F75</f>
        <v>-10404.087</v>
      </c>
      <c r="G11" s="13" t="n">
        <f aca="false">Historicals!G75</f>
        <v>-31992.341</v>
      </c>
      <c r="I11" s="13" t="n">
        <f aca="false">Historicals!I75</f>
        <v>-2524.48</v>
      </c>
      <c r="J11" s="13" t="n">
        <f aca="false">Historicals!J75</f>
        <v>-21685.625</v>
      </c>
    </row>
    <row r="12" customFormat="false" ht="15" hidden="false" customHeight="false" outlineLevel="0" collapsed="false">
      <c r="A12" s="6" t="s">
        <v>310</v>
      </c>
      <c r="C12" s="13" t="n">
        <f aca="false">Historicals!C76</f>
        <v>-20873.744</v>
      </c>
      <c r="D12" s="13" t="n">
        <f aca="false">Historicals!D76</f>
        <v>-12320.867</v>
      </c>
      <c r="E12" s="13" t="n">
        <f aca="false">Historicals!E76</f>
        <v>4132.104</v>
      </c>
      <c r="F12" s="13" t="n">
        <f aca="false">Historicals!F76</f>
        <v>-7629.779</v>
      </c>
      <c r="G12" s="13" t="n">
        <f aca="false">Historicals!G76</f>
        <v>-17509.757</v>
      </c>
      <c r="I12" s="13" t="n">
        <f aca="false">Historicals!I76</f>
        <v>2390.161</v>
      </c>
      <c r="J12" s="13" t="n">
        <f aca="false">Historicals!J76</f>
        <v>-37836.259</v>
      </c>
    </row>
    <row r="13" customFormat="false" ht="15" hidden="false" customHeight="false" outlineLevel="0" collapsed="false">
      <c r="A13" s="6" t="s">
        <v>311</v>
      </c>
      <c r="C13" s="13" t="n">
        <f aca="false">Historicals!C77</f>
        <v>7740.285</v>
      </c>
      <c r="D13" s="13" t="n">
        <f aca="false">Historicals!D77</f>
        <v>7613.266</v>
      </c>
      <c r="E13" s="13" t="n">
        <f aca="false">Historicals!E77</f>
        <v>-9826.389</v>
      </c>
      <c r="F13" s="13" t="n">
        <f aca="false">Historicals!F77</f>
        <v>15692.167</v>
      </c>
      <c r="G13" s="13" t="n">
        <f aca="false">Historicals!G77</f>
        <v>25200.018</v>
      </c>
      <c r="I13" s="13" t="n">
        <f aca="false">Historicals!I77</f>
        <v>230.123</v>
      </c>
      <c r="J13" s="13" t="n">
        <f aca="false">Historicals!J77</f>
        <v>22151.921</v>
      </c>
    </row>
    <row r="14" customFormat="false" ht="15" hidden="false" customHeight="false" outlineLevel="0" collapsed="false">
      <c r="A14" s="6" t="s">
        <v>178</v>
      </c>
      <c r="C14" s="13" t="n">
        <f aca="false">Historicals!C78</f>
        <v>-295.484</v>
      </c>
      <c r="D14" s="13" t="n">
        <f aca="false">Historicals!D78</f>
        <v>-486.748</v>
      </c>
      <c r="E14" s="13" t="n">
        <f aca="false">Historicals!E78</f>
        <v>-952.693</v>
      </c>
      <c r="F14" s="13" t="n">
        <f aca="false">Historicals!F78</f>
        <v>-1471.457</v>
      </c>
      <c r="G14" s="13" t="n">
        <f aca="false">Historicals!G78</f>
        <v>-1514.99</v>
      </c>
      <c r="I14" s="13" t="n">
        <f aca="false">Historicals!I78</f>
        <v>-817.825</v>
      </c>
      <c r="J14" s="13" t="n">
        <f aca="false">Historicals!J78</f>
        <v>-770.244</v>
      </c>
    </row>
    <row r="15" customFormat="false" ht="15" hidden="false" customHeight="false" outlineLevel="0" collapsed="false">
      <c r="A15" s="6" t="s">
        <v>179</v>
      </c>
      <c r="C15" s="13" t="n">
        <f aca="false">Historicals!C79</f>
        <v>-5468.923</v>
      </c>
      <c r="D15" s="13" t="n">
        <f aca="false">Historicals!D79</f>
        <v>-6109.584</v>
      </c>
      <c r="E15" s="13" t="n">
        <f aca="false">Historicals!E79</f>
        <v>-7026.581</v>
      </c>
      <c r="F15" s="13" t="n">
        <f aca="false">Historicals!F79</f>
        <v>-8835.807</v>
      </c>
      <c r="G15" s="13" t="n">
        <f aca="false">Historicals!G79</f>
        <v>-8982.596</v>
      </c>
      <c r="I15" s="13" t="n">
        <f aca="false">Historicals!I79</f>
        <v>-4717.949</v>
      </c>
      <c r="J15" s="13" t="n">
        <f aca="false">Historicals!J79</f>
        <v>-9608.76</v>
      </c>
    </row>
    <row r="16" customFormat="false" ht="15" hidden="false" customHeight="false" outlineLevel="0" collapsed="false">
      <c r="A16" s="6" t="s">
        <v>312</v>
      </c>
      <c r="B16" s="4" t="s">
        <v>313</v>
      </c>
      <c r="C16" s="32" t="n">
        <f aca="false">Historicals!C80-SUM(C9:C15)</f>
        <v>2121.419</v>
      </c>
      <c r="D16" s="32" t="n">
        <f aca="false">Historicals!D80-SUM(D9:D15)</f>
        <v>8496.131</v>
      </c>
      <c r="E16" s="32" t="n">
        <f aca="false">Historicals!E80-SUM(E9:E15)</f>
        <v>7282.67000000001</v>
      </c>
      <c r="F16" s="32" t="n">
        <f aca="false">Historicals!F80-SUM(F9:F15)</f>
        <v>9212.12</v>
      </c>
      <c r="G16" s="32" t="n">
        <f aca="false">Historicals!G80-SUM(G9:G15)</f>
        <v>17568.89</v>
      </c>
      <c r="I16" s="32" t="n">
        <f aca="false">Historicals!I80-SUM(I9:I15)</f>
        <v>220.444000000003</v>
      </c>
      <c r="J16" s="32" t="n">
        <f aca="false">Historicals!J80-SUM(J9:J15)</f>
        <v>28535.123</v>
      </c>
    </row>
    <row r="17" customFormat="false" ht="15" hidden="false" customHeight="false" outlineLevel="0" collapsed="false">
      <c r="A17" s="5" t="s">
        <v>314</v>
      </c>
      <c r="C17" s="33" t="n">
        <f aca="false">SUM(C9:C16)</f>
        <v>28319.366</v>
      </c>
      <c r="D17" s="33" t="n">
        <f aca="false">SUM(D9:D16)</f>
        <v>46529.108</v>
      </c>
      <c r="E17" s="33" t="n">
        <f aca="false">SUM(E9:E16)</f>
        <v>71086.413</v>
      </c>
      <c r="F17" s="33" t="n">
        <f aca="false">SUM(F9:F16)</f>
        <v>72894.957</v>
      </c>
      <c r="G17" s="33" t="n">
        <f aca="false">SUM(G9:G16)</f>
        <v>98474.281</v>
      </c>
      <c r="I17" s="33" t="n">
        <f aca="false">SUM(I9:I16)</f>
        <v>43593.574</v>
      </c>
      <c r="J17" s="33" t="n">
        <f aca="false">SUM(J9:J16)</f>
        <v>63100.603</v>
      </c>
    </row>
    <row r="19" customFormat="false" ht="15" hidden="false" customHeight="false" outlineLevel="0" collapsed="false">
      <c r="A19" s="23" t="s">
        <v>315</v>
      </c>
      <c r="B19" s="24"/>
      <c r="C19" s="24"/>
      <c r="D19" s="24"/>
      <c r="E19" s="24"/>
      <c r="F19" s="24"/>
      <c r="G19" s="24"/>
      <c r="I19" s="24"/>
      <c r="J19" s="24"/>
    </row>
    <row r="20" customFormat="false" ht="15" hidden="false" customHeight="false" outlineLevel="0" collapsed="false">
      <c r="A20" s="6" t="s">
        <v>316</v>
      </c>
      <c r="C20" s="13" t="n">
        <f aca="false">Historicals!C81</f>
        <v>-23027.29</v>
      </c>
      <c r="D20" s="13" t="n">
        <f aca="false">Historicals!D81</f>
        <v>-21824.042</v>
      </c>
      <c r="E20" s="13" t="n">
        <f aca="false">Historicals!E81</f>
        <v>-27829.767</v>
      </c>
      <c r="F20" s="13" t="n">
        <f aca="false">Historicals!F81</f>
        <v>-33429.953</v>
      </c>
      <c r="G20" s="13" t="n">
        <f aca="false">Historicals!G81</f>
        <v>-45722.154</v>
      </c>
      <c r="I20" s="13" t="n">
        <f aca="false">Historicals!I81</f>
        <v>-19041.227</v>
      </c>
      <c r="J20" s="13" t="n">
        <f aca="false">Historicals!J81</f>
        <v>-27252.368</v>
      </c>
    </row>
    <row r="21" customFormat="false" ht="15" hidden="false" customHeight="false" outlineLevel="0" collapsed="false">
      <c r="A21" s="6" t="s">
        <v>317</v>
      </c>
      <c r="C21" s="13" t="n">
        <f aca="false">Historicals!C82</f>
        <v>212.445</v>
      </c>
      <c r="D21" s="13" t="n">
        <f aca="false">Historicals!D82</f>
        <v>843.099</v>
      </c>
      <c r="E21" s="13" t="n">
        <f aca="false">Historicals!E82</f>
        <v>51.934</v>
      </c>
      <c r="F21" s="13" t="n">
        <f aca="false">Historicals!F82</f>
        <v>50.167</v>
      </c>
      <c r="G21" s="13" t="n">
        <f aca="false">Historicals!G82</f>
        <v>141.76</v>
      </c>
      <c r="I21" s="13" t="n">
        <f aca="false">Historicals!I82</f>
        <v>22.601</v>
      </c>
      <c r="J21" s="13" t="n">
        <f aca="false">Historicals!J82</f>
        <v>38.154</v>
      </c>
    </row>
    <row r="22" customFormat="false" ht="15" hidden="false" customHeight="false" outlineLevel="0" collapsed="false">
      <c r="A22" s="6" t="s">
        <v>318</v>
      </c>
      <c r="C22" s="13" t="n">
        <f aca="false">Historicals!C83</f>
        <v>-1300.978</v>
      </c>
      <c r="D22" s="13" t="n">
        <f aca="false">Historicals!D83</f>
        <v>-615.536</v>
      </c>
      <c r="E22" s="13" t="n">
        <f aca="false">Historicals!E83</f>
        <v>-469.89</v>
      </c>
      <c r="F22" s="13" t="n">
        <f aca="false">Historicals!F83</f>
        <v>-1644.428</v>
      </c>
      <c r="G22" s="13" t="n">
        <f aca="false">Historicals!G83</f>
        <v>-1430.633</v>
      </c>
      <c r="I22" s="13" t="n">
        <f aca="false">Historicals!I83</f>
        <v>-1024.771</v>
      </c>
      <c r="J22" s="13" t="n">
        <f aca="false">Historicals!J83</f>
        <v>-564.395</v>
      </c>
    </row>
    <row r="23" customFormat="false" ht="15" hidden="false" customHeight="false" outlineLevel="0" collapsed="false">
      <c r="A23" s="6" t="s">
        <v>319</v>
      </c>
      <c r="C23" s="13" t="n">
        <f aca="false">Historicals!C84</f>
        <v>-2874.959</v>
      </c>
      <c r="D23" s="13" t="n">
        <f aca="false">Historicals!D84</f>
        <v>-2625.458</v>
      </c>
      <c r="E23" s="13" t="n">
        <f aca="false">Historicals!E84</f>
        <v>-5629.812</v>
      </c>
      <c r="F23" s="13" t="n">
        <f aca="false">Historicals!F84</f>
        <v>0</v>
      </c>
      <c r="G23" s="13" t="n">
        <f aca="false">Historicals!G84</f>
        <v>-2107.562</v>
      </c>
      <c r="I23" s="13" t="n">
        <f aca="false">Historicals!I84</f>
        <v>0</v>
      </c>
      <c r="J23" s="13" t="n">
        <f aca="false">Historicals!J84</f>
        <v>-762.405</v>
      </c>
    </row>
    <row r="24" customFormat="false" ht="15" hidden="false" customHeight="false" outlineLevel="0" collapsed="false">
      <c r="A24" s="6" t="s">
        <v>320</v>
      </c>
      <c r="B24" s="4" t="s">
        <v>321</v>
      </c>
      <c r="C24" s="32" t="n">
        <f aca="false">Historicals!C85-SUM(C20:C23)</f>
        <v>509.523000000001</v>
      </c>
      <c r="D24" s="32" t="n">
        <f aca="false">Historicals!D85-SUM(D20:D23)</f>
        <v>-497.306000000001</v>
      </c>
      <c r="E24" s="32" t="n">
        <f aca="false">Historicals!E85-SUM(E20:E23)</f>
        <v>375.841999999997</v>
      </c>
      <c r="F24" s="32" t="n">
        <f aca="false">Historicals!F85-SUM(F20:F23)</f>
        <v>-5335.809</v>
      </c>
      <c r="G24" s="32" t="n">
        <f aca="false">Historicals!G85-SUM(G20:G23)</f>
        <v>-4095.617</v>
      </c>
      <c r="I24" s="32" t="n">
        <f aca="false">Historicals!I85-SUM(I20:I23)</f>
        <v>-2205.553</v>
      </c>
      <c r="J24" s="32" t="n">
        <f aca="false">Historicals!J85-SUM(J20:J23)</f>
        <v>-1741.44100000001</v>
      </c>
    </row>
    <row r="25" customFormat="false" ht="15" hidden="false" customHeight="false" outlineLevel="0" collapsed="false">
      <c r="A25" s="5" t="s">
        <v>322</v>
      </c>
      <c r="C25" s="33" t="n">
        <f aca="false">SUM(C20:C24)</f>
        <v>-26481.259</v>
      </c>
      <c r="D25" s="33" t="n">
        <f aca="false">SUM(D20:D24)</f>
        <v>-24719.243</v>
      </c>
      <c r="E25" s="33" t="n">
        <f aca="false">SUM(E20:E24)</f>
        <v>-33501.693</v>
      </c>
      <c r="F25" s="33" t="n">
        <f aca="false">SUM(F20:F24)</f>
        <v>-40360.023</v>
      </c>
      <c r="G25" s="33" t="n">
        <f aca="false">SUM(G20:G24)</f>
        <v>-53214.206</v>
      </c>
      <c r="I25" s="33" t="n">
        <f aca="false">SUM(I20:I24)</f>
        <v>-22248.95</v>
      </c>
      <c r="J25" s="33" t="n">
        <f aca="false">SUM(J20:J24)</f>
        <v>-30282.455</v>
      </c>
    </row>
    <row r="27" customFormat="false" ht="15" hidden="false" customHeight="false" outlineLevel="0" collapsed="false">
      <c r="A27" s="23" t="s">
        <v>323</v>
      </c>
      <c r="B27" s="24"/>
      <c r="C27" s="24"/>
      <c r="D27" s="24"/>
      <c r="E27" s="24"/>
      <c r="F27" s="24"/>
      <c r="G27" s="24"/>
      <c r="I27" s="24"/>
      <c r="J27" s="24"/>
    </row>
    <row r="28" customFormat="false" ht="15" hidden="false" customHeight="false" outlineLevel="0" collapsed="false">
      <c r="A28" s="6" t="s">
        <v>324</v>
      </c>
      <c r="B28" s="4" t="s">
        <v>325</v>
      </c>
      <c r="C28" s="32" t="n">
        <f aca="false">Historicals!C86+Historicals!C87+Historicals!C88+Historicals!C89+Historicals!C90</f>
        <v>6992.635</v>
      </c>
      <c r="D28" s="32" t="n">
        <f aca="false">Historicals!D86+Historicals!D87+Historicals!D88+Historicals!D89+Historicals!D90</f>
        <v>-1899.746</v>
      </c>
      <c r="E28" s="32" t="n">
        <f aca="false">Historicals!E86+Historicals!E87+Historicals!E88+Historicals!E89+Historicals!E90</f>
        <v>10326.588</v>
      </c>
      <c r="F28" s="32" t="n">
        <f aca="false">Historicals!F86+Historicals!F87+Historicals!F88+Historicals!F89+Historicals!F90</f>
        <v>7134.88099999999</v>
      </c>
      <c r="G28" s="32" t="n">
        <f aca="false">Historicals!G86+Historicals!G87+Historicals!G88+Historicals!G89+Historicals!G90</f>
        <v>11728.748</v>
      </c>
      <c r="I28" s="32" t="n">
        <f aca="false">Historicals!I86+Historicals!I87+Historicals!I88+Historicals!I89+Historicals!I90</f>
        <v>19769.593</v>
      </c>
      <c r="J28" s="32" t="n">
        <f aca="false">Historicals!J86+Historicals!J87+Historicals!J88+Historicals!J89+Historicals!J90</f>
        <v>-4004.173</v>
      </c>
    </row>
    <row r="29" customFormat="false" ht="15" hidden="false" customHeight="false" outlineLevel="0" collapsed="false">
      <c r="A29" s="6" t="s">
        <v>326</v>
      </c>
      <c r="C29" s="13" t="n">
        <f aca="false">Historicals!C91</f>
        <v>-541.768</v>
      </c>
      <c r="D29" s="13" t="n">
        <f aca="false">Historicals!D91</f>
        <v>-1940.165</v>
      </c>
      <c r="E29" s="13" t="n">
        <f aca="false">Historicals!E91</f>
        <v>-816.154</v>
      </c>
      <c r="F29" s="13" t="n">
        <f aca="false">Historicals!F91</f>
        <v>-623.183</v>
      </c>
      <c r="G29" s="13" t="n">
        <f aca="false">Historicals!G91</f>
        <v>-882.728</v>
      </c>
      <c r="I29" s="13" t="n">
        <f aca="false">Historicals!I91</f>
        <v>-575.211</v>
      </c>
      <c r="J29" s="13" t="n">
        <f aca="false">Historicals!J91</f>
        <v>-434.197</v>
      </c>
    </row>
    <row r="30" customFormat="false" ht="15" hidden="false" customHeight="false" outlineLevel="0" collapsed="false">
      <c r="A30" s="6" t="s">
        <v>327</v>
      </c>
      <c r="B30" s="4" t="s">
        <v>328</v>
      </c>
      <c r="C30" s="13" t="n">
        <f aca="false">Historicals!C92</f>
        <v>-14286.48</v>
      </c>
      <c r="D30" s="13" t="n">
        <f aca="false">Historicals!D92</f>
        <v>-14286.479</v>
      </c>
      <c r="E30" s="13" t="n">
        <f aca="false">Historicals!E92</f>
        <v>-25559.802</v>
      </c>
      <c r="F30" s="13" t="n">
        <f aca="false">Historicals!F92</f>
        <v>-16702.171</v>
      </c>
      <c r="G30" s="13" t="n">
        <f aca="false">Historicals!G92</f>
        <v>-18182.803</v>
      </c>
      <c r="I30" s="13" t="n">
        <f aca="false">Historicals!I92</f>
        <v>0</v>
      </c>
      <c r="J30" s="13" t="n">
        <f aca="false">Historicals!J92</f>
        <v>0</v>
      </c>
    </row>
    <row r="31" customFormat="false" ht="15" hidden="false" customHeight="false" outlineLevel="0" collapsed="false">
      <c r="A31" s="6" t="s">
        <v>329</v>
      </c>
      <c r="C31" s="13" t="n">
        <f aca="false">Historicals!C93</f>
        <v>-1464.506</v>
      </c>
      <c r="D31" s="13" t="n">
        <f aca="false">Historicals!D93</f>
        <v>-739.023</v>
      </c>
      <c r="E31" s="13" t="n">
        <f aca="false">Historicals!E93</f>
        <v>-1895.556</v>
      </c>
      <c r="F31" s="13" t="n">
        <f aca="false">Historicals!F93</f>
        <v>-1993.839</v>
      </c>
      <c r="G31" s="13" t="n">
        <f aca="false">Historicals!G93</f>
        <v>-2129.914</v>
      </c>
      <c r="I31" s="13" t="n">
        <f aca="false">Historicals!I93</f>
        <v>-2043.802</v>
      </c>
      <c r="J31" s="13" t="n">
        <f aca="false">Historicals!J93</f>
        <v>-2725.886</v>
      </c>
    </row>
    <row r="32" customFormat="false" ht="15" hidden="false" customHeight="false" outlineLevel="0" collapsed="false">
      <c r="A32" s="6" t="s">
        <v>330</v>
      </c>
      <c r="B32" s="4" t="s">
        <v>331</v>
      </c>
      <c r="C32" s="32" t="n">
        <f aca="false">Historicals!C94-SUM(C28:C31)</f>
        <v>963.258999999996</v>
      </c>
      <c r="D32" s="32" t="n">
        <f aca="false">Historicals!D94-SUM(D28:D31)</f>
        <v>-873.758999999998</v>
      </c>
      <c r="E32" s="32" t="n">
        <f aca="false">Historicals!E94-SUM(E28:E31)</f>
        <v>7466.862</v>
      </c>
      <c r="F32" s="32" t="n">
        <f aca="false">Historicals!F94-SUM(F28:F31)</f>
        <v>1066.73000000001</v>
      </c>
      <c r="G32" s="32" t="n">
        <f aca="false">Historicals!G94-SUM(G28:G31)</f>
        <v>65.299999999992</v>
      </c>
      <c r="I32" s="32" t="n">
        <f aca="false">Historicals!I94-SUM(I28:I31)</f>
        <v>43.3259999999973</v>
      </c>
      <c r="J32" s="32" t="n">
        <f aca="false">Historicals!J94-SUM(J28:J31)</f>
        <v>4544.632</v>
      </c>
    </row>
    <row r="33" customFormat="false" ht="15" hidden="false" customHeight="false" outlineLevel="0" collapsed="false">
      <c r="A33" s="5" t="s">
        <v>332</v>
      </c>
      <c r="C33" s="33" t="n">
        <f aca="false">SUM(C28:C32)</f>
        <v>-8336.86</v>
      </c>
      <c r="D33" s="33" t="n">
        <f aca="false">SUM(D28:D32)</f>
        <v>-19739.172</v>
      </c>
      <c r="E33" s="33" t="n">
        <f aca="false">SUM(E28:E32)</f>
        <v>-10478.062</v>
      </c>
      <c r="F33" s="33" t="n">
        <f aca="false">SUM(F28:F32)</f>
        <v>-11117.582</v>
      </c>
      <c r="G33" s="33" t="n">
        <f aca="false">SUM(G28:G32)</f>
        <v>-9401.397</v>
      </c>
      <c r="I33" s="33" t="n">
        <f aca="false">SUM(I28:I32)</f>
        <v>17193.906</v>
      </c>
      <c r="J33" s="33" t="n">
        <f aca="false">SUM(J28:J32)</f>
        <v>-2619.624</v>
      </c>
    </row>
    <row r="35" customFormat="false" ht="15" hidden="false" customHeight="false" outlineLevel="0" collapsed="false">
      <c r="A35" s="6" t="s">
        <v>333</v>
      </c>
      <c r="C35" s="13" t="n">
        <f aca="false">Historicals!C95</f>
        <v>-2358.179</v>
      </c>
      <c r="D35" s="13" t="n">
        <f aca="false">Historicals!D95</f>
        <v>9621.09</v>
      </c>
      <c r="E35" s="13" t="n">
        <f aca="false">Historicals!E95</f>
        <v>-1197.578</v>
      </c>
      <c r="F35" s="13" t="n">
        <f aca="false">Historicals!F95</f>
        <v>8585.982</v>
      </c>
      <c r="G35" s="13" t="n">
        <f aca="false">Historicals!G95</f>
        <v>-2145.753</v>
      </c>
      <c r="I35" s="13" t="n">
        <f aca="false">Historicals!I95</f>
        <v>-16469.812</v>
      </c>
      <c r="J35" s="13" t="n">
        <f aca="false">Historicals!J95</f>
        <v>979.505</v>
      </c>
    </row>
    <row r="36" customFormat="false" ht="15" hidden="false" customHeight="false" outlineLevel="0" collapsed="false">
      <c r="A36" s="5" t="s">
        <v>334</v>
      </c>
      <c r="C36" s="33" t="n">
        <f aca="false">C17+C25+C33+C35</f>
        <v>-8856.932</v>
      </c>
      <c r="D36" s="33" t="n">
        <f aca="false">D17+D25+D33+D35</f>
        <v>11691.783</v>
      </c>
      <c r="E36" s="33" t="n">
        <f aca="false">E17+E25+E33+E35</f>
        <v>25909.08</v>
      </c>
      <c r="F36" s="33" t="n">
        <f aca="false">F17+F25+F33+F35</f>
        <v>30003.334</v>
      </c>
      <c r="G36" s="33" t="n">
        <f aca="false">G17+G25+G33+G35</f>
        <v>33712.925</v>
      </c>
      <c r="I36" s="33" t="n">
        <f aca="false">I17+I25+I33+I35</f>
        <v>22068.718</v>
      </c>
      <c r="J36" s="33" t="n">
        <f aca="false">J17+J25+J33+J35</f>
        <v>31178.029</v>
      </c>
    </row>
    <row r="37" customFormat="false" ht="15" hidden="false" customHeight="false" outlineLevel="0" collapsed="false">
      <c r="A37" s="6" t="s">
        <v>335</v>
      </c>
      <c r="B37" s="4" t="s">
        <v>336</v>
      </c>
      <c r="C37" s="13" t="n">
        <f aca="false">Historicals!C97</f>
        <v>58711.985</v>
      </c>
      <c r="D37" s="13" t="n">
        <f aca="false">BS!C9</f>
        <v>49855.053</v>
      </c>
      <c r="E37" s="13" t="n">
        <f aca="false">BS!D9</f>
        <v>61546.836</v>
      </c>
      <c r="F37" s="13" t="n">
        <f aca="false">BS!E9</f>
        <v>87455.916</v>
      </c>
      <c r="G37" s="13" t="n">
        <f aca="false">BS!F9</f>
        <v>117459.25</v>
      </c>
      <c r="I37" s="13" t="n">
        <f aca="false">BS!F9</f>
        <v>117459.25</v>
      </c>
      <c r="J37" s="13" t="n">
        <f aca="false">BS!G9</f>
        <v>151172.175</v>
      </c>
    </row>
    <row r="38" customFormat="false" ht="15" hidden="false" customHeight="false" outlineLevel="0" collapsed="false">
      <c r="A38" s="5" t="s">
        <v>337</v>
      </c>
      <c r="C38" s="33" t="n">
        <f aca="false">C37+C36</f>
        <v>49855.053</v>
      </c>
      <c r="D38" s="33" t="n">
        <f aca="false">D37+D36</f>
        <v>61546.836</v>
      </c>
      <c r="E38" s="33" t="n">
        <f aca="false">E37+E36</f>
        <v>87455.916</v>
      </c>
      <c r="F38" s="33" t="n">
        <f aca="false">F37+F36</f>
        <v>117459.25</v>
      </c>
      <c r="G38" s="33" t="n">
        <f aca="false">G37+G36</f>
        <v>151172.175</v>
      </c>
      <c r="I38" s="33" t="n">
        <f aca="false">I37+I36</f>
        <v>139527.968</v>
      </c>
      <c r="J38" s="33" t="n">
        <f aca="false">J37+J36</f>
        <v>182350.204</v>
      </c>
    </row>
    <row r="40" customFormat="false" ht="15" hidden="false" customHeight="false" outlineLevel="0" collapsed="false">
      <c r="A40" s="23" t="s">
        <v>258</v>
      </c>
      <c r="B40" s="24"/>
      <c r="C40" s="24"/>
      <c r="D40" s="24"/>
      <c r="E40" s="24"/>
      <c r="F40" s="24"/>
      <c r="G40" s="24"/>
      <c r="I40" s="24"/>
      <c r="J40" s="24"/>
    </row>
    <row r="41" customFormat="false" ht="15" hidden="false" customHeight="false" outlineLevel="0" collapsed="false">
      <c r="A41" s="6" t="s">
        <v>338</v>
      </c>
      <c r="B41" s="4" t="s">
        <v>339</v>
      </c>
      <c r="C41" s="32" t="n">
        <f aca="false">C20+C22</f>
        <v>-24328.268</v>
      </c>
      <c r="D41" s="32" t="n">
        <f aca="false">D20+D22</f>
        <v>-22439.578</v>
      </c>
      <c r="E41" s="32" t="n">
        <f aca="false">E20+E22</f>
        <v>-28299.657</v>
      </c>
      <c r="F41" s="32" t="n">
        <f aca="false">F20+F22</f>
        <v>-35074.381</v>
      </c>
      <c r="G41" s="32" t="n">
        <f aca="false">G20+G22</f>
        <v>-47152.787</v>
      </c>
      <c r="I41" s="32" t="n">
        <f aca="false">I20+I22</f>
        <v>-20065.998</v>
      </c>
      <c r="J41" s="32" t="n">
        <f aca="false">J20+J22</f>
        <v>-27816.763</v>
      </c>
    </row>
    <row r="42" customFormat="false" ht="15" hidden="false" customHeight="false" outlineLevel="0" collapsed="false">
      <c r="A42" s="5" t="s">
        <v>340</v>
      </c>
      <c r="C42" s="39" t="n">
        <f aca="false">C17+C41</f>
        <v>3991.098</v>
      </c>
      <c r="D42" s="39" t="n">
        <f aca="false">D17+D41</f>
        <v>24089.53</v>
      </c>
      <c r="E42" s="39" t="n">
        <f aca="false">E17+E41</f>
        <v>42786.756</v>
      </c>
      <c r="F42" s="39" t="n">
        <f aca="false">F17+F41</f>
        <v>37820.576</v>
      </c>
      <c r="G42" s="39" t="n">
        <f aca="false">G17+G41</f>
        <v>51321.494</v>
      </c>
      <c r="I42" s="39" t="n">
        <f aca="false">I17+I41</f>
        <v>23527.576</v>
      </c>
      <c r="J42" s="39" t="n">
        <f aca="false">J17+J41</f>
        <v>35283.84</v>
      </c>
    </row>
    <row r="43" customFormat="false" ht="15" hidden="false" customHeight="false" outlineLevel="0" collapsed="false">
      <c r="A43" s="6" t="s">
        <v>341</v>
      </c>
      <c r="C43" s="25" t="n">
        <f aca="false">C42/IS!C9</f>
        <v>0.0126834077096878</v>
      </c>
      <c r="D43" s="25" t="n">
        <f aca="false">D42/IS!D9</f>
        <v>0.0626608123973379</v>
      </c>
      <c r="E43" s="25" t="n">
        <f aca="false">E42/IS!E9</f>
        <v>0.106639905124313</v>
      </c>
      <c r="F43" s="25" t="n">
        <f aca="false">F42/IS!F9</f>
        <v>0.0898036219642609</v>
      </c>
      <c r="G43" s="25" t="n">
        <f aca="false">G42/IS!G9</f>
        <v>0.0924902970194367</v>
      </c>
      <c r="I43" s="25" t="n">
        <f aca="false">I42/IS!I9</f>
        <v>0.0968394360866561</v>
      </c>
      <c r="J43" s="25" t="n">
        <f aca="false">J42/IS!J9</f>
        <v>0.102985816485261</v>
      </c>
    </row>
    <row r="44" customFormat="false" ht="15" hidden="false" customHeight="false" outlineLevel="0" collapsed="false">
      <c r="A44" s="6" t="s">
        <v>342</v>
      </c>
      <c r="C44" s="40" t="n">
        <f aca="false">C17/IS!C24</f>
        <v>0.993688707341704</v>
      </c>
      <c r="D44" s="40" t="n">
        <f aca="false">D17/IS!D24</f>
        <v>1.25785833199651</v>
      </c>
      <c r="E44" s="40" t="n">
        <f aca="false">E17/IS!E24</f>
        <v>1.8283369856051</v>
      </c>
      <c r="F44" s="40" t="n">
        <f aca="false">F17/IS!F24</f>
        <v>1.80472819507268</v>
      </c>
      <c r="G44" s="40" t="n">
        <f aca="false">G17/IS!G24</f>
        <v>1.44950886939573</v>
      </c>
      <c r="I44" s="40" t="n">
        <f aca="false">I17/IS!I24</f>
        <v>1.59233996414223</v>
      </c>
      <c r="J44" s="40" t="n">
        <f aca="false">J17/IS!J24</f>
        <v>1.23717939517995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7" min="3" style="1" width="12"/>
    <col collapsed="false" customWidth="true" hidden="false" outlineLevel="0" max="8" min="8" style="1" width="3"/>
    <col collapsed="false" customWidth="true" hidden="false" outlineLevel="0" max="10" min="9" style="1" width="12"/>
  </cols>
  <sheetData>
    <row r="1" customFormat="false" ht="17.35" hidden="false" customHeight="false" outlineLevel="0" collapsed="false">
      <c r="A1" s="18" t="s">
        <v>343</v>
      </c>
    </row>
    <row r="2" customFormat="false" ht="15" hidden="false" customHeight="false" outlineLevel="0" collapsed="false">
      <c r="A2" s="19" t="s">
        <v>344</v>
      </c>
    </row>
    <row r="3" customFormat="false" ht="15" hidden="false" customHeight="false" outlineLevel="0" collapsed="false">
      <c r="A3" s="6"/>
    </row>
    <row r="4" customFormat="false" ht="15" hidden="false" customHeight="false" outlineLevel="0" collapsed="false">
      <c r="A4" s="6" t="s">
        <v>345</v>
      </c>
      <c r="B4" s="41" t="n">
        <v>365</v>
      </c>
    </row>
    <row r="5" customFormat="false" ht="15" hidden="false" customHeight="false" outlineLevel="0" collapsed="false">
      <c r="A5" s="21" t="s">
        <v>57</v>
      </c>
      <c r="B5" s="21" t="s">
        <v>58</v>
      </c>
      <c r="C5" s="12" t="s">
        <v>59</v>
      </c>
      <c r="D5" s="12" t="s">
        <v>60</v>
      </c>
      <c r="E5" s="12" t="s">
        <v>26</v>
      </c>
      <c r="F5" s="12" t="s">
        <v>27</v>
      </c>
      <c r="G5" s="12" t="s">
        <v>28</v>
      </c>
    </row>
    <row r="6" customFormat="false" ht="15" hidden="false" customHeight="false" outlineLevel="0" collapsed="false"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</row>
    <row r="8" customFormat="false" ht="15" hidden="false" customHeight="false" outlineLevel="0" collapsed="false">
      <c r="A8" s="23" t="s">
        <v>346</v>
      </c>
      <c r="B8" s="24"/>
      <c r="C8" s="24"/>
      <c r="D8" s="24"/>
      <c r="E8" s="24"/>
      <c r="F8" s="24"/>
      <c r="G8" s="24"/>
    </row>
    <row r="9" customFormat="false" ht="15" hidden="false" customHeight="false" outlineLevel="0" collapsed="false">
      <c r="A9" s="6" t="s">
        <v>30</v>
      </c>
      <c r="C9" s="13" t="n">
        <f aca="false">IS!C9</f>
        <v>314670.796</v>
      </c>
      <c r="D9" s="13" t="n">
        <f aca="false">IS!D9</f>
        <v>384443.308</v>
      </c>
      <c r="E9" s="13" t="n">
        <f aca="false">IS!E9</f>
        <v>401226.501</v>
      </c>
      <c r="F9" s="13" t="n">
        <f aca="false">IS!F9</f>
        <v>421147.557</v>
      </c>
      <c r="G9" s="13" t="n">
        <f aca="false">IS!G9</f>
        <v>554885.168</v>
      </c>
    </row>
    <row r="10" customFormat="false" ht="15" hidden="false" customHeight="false" outlineLevel="0" collapsed="false">
      <c r="A10" s="6" t="s">
        <v>347</v>
      </c>
      <c r="C10" s="13" t="n">
        <f aca="false">-IS!C10</f>
        <v>224461.345</v>
      </c>
      <c r="D10" s="13" t="n">
        <f aca="false">-IS!D10</f>
        <v>273670.745</v>
      </c>
      <c r="E10" s="13" t="n">
        <f aca="false">-IS!E10</f>
        <v>284013.473</v>
      </c>
      <c r="F10" s="13" t="n">
        <f aca="false">-IS!F10</f>
        <v>284567.383</v>
      </c>
      <c r="G10" s="13" t="n">
        <f aca="false">-IS!G10</f>
        <v>364728.61</v>
      </c>
    </row>
    <row r="11" customFormat="false" ht="15" hidden="false" customHeight="false" outlineLevel="0" collapsed="false">
      <c r="A11" s="6" t="s">
        <v>275</v>
      </c>
      <c r="C11" s="13" t="n">
        <f aca="false">BS!C11</f>
        <v>70857.01</v>
      </c>
      <c r="D11" s="13" t="n">
        <f aca="false">BS!D11</f>
        <v>87197.711</v>
      </c>
      <c r="E11" s="13" t="n">
        <f aca="false">BS!E11</f>
        <v>79379.663</v>
      </c>
      <c r="F11" s="13" t="n">
        <f aca="false">BS!F11</f>
        <v>89920.501</v>
      </c>
      <c r="G11" s="13" t="n">
        <f aca="false">BS!G11</f>
        <v>121716.564</v>
      </c>
    </row>
    <row r="12" customFormat="false" ht="15" hidden="false" customHeight="false" outlineLevel="0" collapsed="false">
      <c r="A12" s="6" t="s">
        <v>142</v>
      </c>
      <c r="C12" s="13" t="n">
        <f aca="false">BS!C12</f>
        <v>66107.351</v>
      </c>
      <c r="D12" s="13" t="n">
        <f aca="false">BS!D12</f>
        <v>79844.364</v>
      </c>
      <c r="E12" s="13" t="n">
        <f aca="false">BS!E12</f>
        <v>76226.562</v>
      </c>
      <c r="F12" s="13" t="n">
        <f aca="false">BS!F12</f>
        <v>83856.341</v>
      </c>
      <c r="G12" s="13" t="n">
        <f aca="false">BS!G12</f>
        <v>101478.308</v>
      </c>
    </row>
    <row r="13" customFormat="false" ht="15" hidden="false" customHeight="false" outlineLevel="0" collapsed="false">
      <c r="A13" s="6" t="s">
        <v>288</v>
      </c>
      <c r="C13" s="13" t="n">
        <f aca="false">BS!C25</f>
        <v>54569.925</v>
      </c>
      <c r="D13" s="13" t="n">
        <f aca="false">BS!D25</f>
        <v>62715.67</v>
      </c>
      <c r="E13" s="13" t="n">
        <f aca="false">BS!E25</f>
        <v>53538.944</v>
      </c>
      <c r="F13" s="13" t="n">
        <f aca="false">BS!F25</f>
        <v>69223.251</v>
      </c>
      <c r="G13" s="13" t="n">
        <f aca="false">BS!G25</f>
        <v>94451.507</v>
      </c>
    </row>
    <row r="14" customFormat="false" ht="15" hidden="false" customHeight="false" outlineLevel="0" collapsed="false">
      <c r="A14" s="6" t="s">
        <v>348</v>
      </c>
      <c r="C14" s="27" t="n">
        <f aca="false">C11/C9*$B$4</f>
        <v>82.1900506140392</v>
      </c>
      <c r="D14" s="27" t="n">
        <f aca="false">D11/D9*$B$4</f>
        <v>82.7876668749297</v>
      </c>
      <c r="E14" s="27" t="n">
        <f aca="false">E11/E9*$B$4</f>
        <v>72.2125206654782</v>
      </c>
      <c r="F14" s="27" t="n">
        <f aca="false">F11/F9*$B$4</f>
        <v>77.9322646409178</v>
      </c>
      <c r="G14" s="27" t="n">
        <f aca="false">G11/G9*$B$4</f>
        <v>80.0643960625742</v>
      </c>
    </row>
    <row r="15" customFormat="false" ht="15" hidden="false" customHeight="false" outlineLevel="0" collapsed="false">
      <c r="A15" s="6" t="s">
        <v>349</v>
      </c>
      <c r="C15" s="27" t="n">
        <f aca="false">C12/C10*$B$4</f>
        <v>107.498166844719</v>
      </c>
      <c r="D15" s="27" t="n">
        <f aca="false">D12/D10*$B$4</f>
        <v>106.489982551843</v>
      </c>
      <c r="E15" s="27" t="n">
        <f aca="false">E12/E10*$B$4</f>
        <v>97.9625890142191</v>
      </c>
      <c r="F15" s="27" t="n">
        <f aca="false">F12/F10*$B$4</f>
        <v>107.558231524377</v>
      </c>
      <c r="G15" s="27" t="n">
        <f aca="false">G12/G10*$B$4</f>
        <v>101.553816740617</v>
      </c>
    </row>
    <row r="16" customFormat="false" ht="15" hidden="false" customHeight="false" outlineLevel="0" collapsed="false">
      <c r="A16" s="6" t="s">
        <v>350</v>
      </c>
      <c r="C16" s="27" t="n">
        <f aca="false">C13/C10*$B$4</f>
        <v>88.7369833099771</v>
      </c>
      <c r="D16" s="27" t="n">
        <f aca="false">D13/D10*$B$4</f>
        <v>83.6451099294519</v>
      </c>
      <c r="E16" s="27" t="n">
        <f aca="false">E13/E10*$B$4</f>
        <v>68.8055899376295</v>
      </c>
      <c r="F16" s="27" t="n">
        <f aca="false">F13/F10*$B$4</f>
        <v>88.789116829317</v>
      </c>
      <c r="G16" s="27" t="n">
        <f aca="false">G13/G10*$B$4</f>
        <v>94.5217871858202</v>
      </c>
    </row>
    <row r="17" customFormat="false" ht="15" hidden="false" customHeight="false" outlineLevel="0" collapsed="false">
      <c r="A17" s="5" t="s">
        <v>351</v>
      </c>
      <c r="C17" s="42" t="n">
        <f aca="false">C14+C15-C16</f>
        <v>100.951234148781</v>
      </c>
      <c r="D17" s="42" t="n">
        <f aca="false">D14+D15-D16</f>
        <v>105.632539497321</v>
      </c>
      <c r="E17" s="42" t="n">
        <f aca="false">E14+E15-E16</f>
        <v>101.369519742068</v>
      </c>
      <c r="F17" s="42" t="n">
        <f aca="false">F14+F15-F16</f>
        <v>96.7013793359775</v>
      </c>
      <c r="G17" s="42" t="n">
        <f aca="false">G14+G15-G16</f>
        <v>87.0964256173711</v>
      </c>
    </row>
    <row r="18" customFormat="false" ht="15" hidden="false" customHeight="false" outlineLevel="0" collapsed="false">
      <c r="A18" s="6" t="s">
        <v>352</v>
      </c>
      <c r="C18" s="25" t="n">
        <f aca="false">BS!C13/C9</f>
        <v>0.027475740074716</v>
      </c>
      <c r="D18" s="25" t="n">
        <f aca="false">BS!D13/D9</f>
        <v>0.0255865059823072</v>
      </c>
      <c r="E18" s="25" t="n">
        <f aca="false">BS!E13/E9</f>
        <v>0.0292413436569087</v>
      </c>
      <c r="F18" s="25" t="n">
        <f aca="false">BS!F13/F9</f>
        <v>0.0364610069434643</v>
      </c>
      <c r="G18" s="25" t="n">
        <f aca="false">BS!G13/G9</f>
        <v>0.0314894738725473</v>
      </c>
    </row>
    <row r="19" customFormat="false" ht="15" hidden="false" customHeight="false" outlineLevel="0" collapsed="false">
      <c r="A19" s="6" t="s">
        <v>353</v>
      </c>
      <c r="C19" s="25" t="n">
        <f aca="false">BS!C26/C9</f>
        <v>0.1563608400444</v>
      </c>
      <c r="D19" s="25" t="n">
        <f aca="false">BS!D26/D9</f>
        <v>0.156644672301072</v>
      </c>
      <c r="E19" s="25" t="n">
        <f aca="false">BS!E26/E9</f>
        <v>0.166168094165844</v>
      </c>
      <c r="F19" s="25" t="n">
        <f aca="false">BS!F26/F9</f>
        <v>0.177939799850246</v>
      </c>
      <c r="G19" s="25" t="n">
        <f aca="false">BS!G26/G9</f>
        <v>0.17641212208433</v>
      </c>
    </row>
    <row r="21" customFormat="false" ht="15" hidden="false" customHeight="false" outlineLevel="0" collapsed="false">
      <c r="A21" s="23" t="s">
        <v>354</v>
      </c>
      <c r="B21" s="24"/>
      <c r="C21" s="24"/>
      <c r="D21" s="24"/>
      <c r="E21" s="24"/>
      <c r="F21" s="24"/>
      <c r="G21" s="24"/>
    </row>
    <row r="22" customFormat="false" ht="15" hidden="false" customHeight="false" outlineLevel="0" collapsed="false">
      <c r="A22" s="6" t="s">
        <v>355</v>
      </c>
      <c r="D22" s="13" t="n">
        <f aca="false">BS!C16</f>
        <v>76607.285</v>
      </c>
      <c r="E22" s="13" t="n">
        <f aca="false">BS!D16</f>
        <v>86266.587</v>
      </c>
      <c r="F22" s="13" t="n">
        <f aca="false">BS!E16</f>
        <v>98001.515</v>
      </c>
      <c r="G22" s="13" t="n">
        <f aca="false">BS!F16</f>
        <v>115710.424</v>
      </c>
    </row>
    <row r="23" customFormat="false" ht="15" hidden="false" customHeight="false" outlineLevel="0" collapsed="false">
      <c r="A23" s="6" t="s">
        <v>356</v>
      </c>
      <c r="C23" s="13" t="n">
        <f aca="false">-CF!C20</f>
        <v>23027.29</v>
      </c>
      <c r="D23" s="13" t="n">
        <f aca="false">-CF!D20</f>
        <v>21824.042</v>
      </c>
      <c r="E23" s="13" t="n">
        <f aca="false">-CF!E20</f>
        <v>27829.767</v>
      </c>
      <c r="F23" s="13" t="n">
        <f aca="false">-CF!F20</f>
        <v>33429.953</v>
      </c>
      <c r="G23" s="13" t="n">
        <f aca="false">-CF!G20</f>
        <v>45722.154</v>
      </c>
    </row>
    <row r="24" customFormat="false" ht="15" hidden="false" customHeight="false" outlineLevel="0" collapsed="false">
      <c r="A24" s="6" t="s">
        <v>357</v>
      </c>
      <c r="B24" s="4" t="s">
        <v>358</v>
      </c>
      <c r="C24" s="13" t="n">
        <f aca="false">-Historicals!C73</f>
        <v>-13467.401</v>
      </c>
      <c r="D24" s="13" t="n">
        <f aca="false">-Historicals!D73</f>
        <v>-15020.243</v>
      </c>
      <c r="E24" s="13" t="n">
        <f aca="false">-Historicals!E73</f>
        <v>-17577.068</v>
      </c>
      <c r="F24" s="13" t="n">
        <f aca="false">-Historicals!F73</f>
        <v>-21094.536</v>
      </c>
      <c r="G24" s="13" t="n">
        <f aca="false">-Historicals!G73</f>
        <v>-24022.324</v>
      </c>
    </row>
    <row r="25" customFormat="false" ht="15" hidden="false" customHeight="false" outlineLevel="0" collapsed="false">
      <c r="A25" s="6" t="s">
        <v>359</v>
      </c>
      <c r="B25" s="4" t="s">
        <v>360</v>
      </c>
      <c r="D25" s="32" t="n">
        <f aca="false">BS!D16-D22-D23-D24</f>
        <v>2855.503</v>
      </c>
      <c r="E25" s="32" t="n">
        <f aca="false">BS!E16-E22-E23-E24</f>
        <v>1482.229</v>
      </c>
      <c r="F25" s="32" t="n">
        <f aca="false">BS!F16-F22-F23-F24</f>
        <v>5373.492</v>
      </c>
      <c r="G25" s="32" t="n">
        <f aca="false">BS!G16-G22-G23-G24</f>
        <v>4629.58899999999</v>
      </c>
    </row>
    <row r="26" customFormat="false" ht="15" hidden="false" customHeight="false" outlineLevel="0" collapsed="false">
      <c r="A26" s="5" t="s">
        <v>361</v>
      </c>
      <c r="C26" s="43" t="n">
        <f aca="false">BS!C16</f>
        <v>76607.285</v>
      </c>
      <c r="D26" s="43" t="n">
        <f aca="false">BS!D16</f>
        <v>86266.587</v>
      </c>
      <c r="E26" s="43" t="n">
        <f aca="false">BS!E16</f>
        <v>98001.515</v>
      </c>
      <c r="F26" s="43" t="n">
        <f aca="false">BS!F16</f>
        <v>115710.424</v>
      </c>
      <c r="G26" s="43" t="n">
        <f aca="false">BS!G16</f>
        <v>142039.843</v>
      </c>
    </row>
    <row r="27" customFormat="false" ht="15" hidden="false" customHeight="false" outlineLevel="0" collapsed="false">
      <c r="A27" s="6" t="s">
        <v>362</v>
      </c>
      <c r="C27" s="25" t="n">
        <f aca="false">C23/C9</f>
        <v>0.0731789867147379</v>
      </c>
      <c r="D27" s="25" t="n">
        <f aca="false">D23/D9</f>
        <v>0.0567679071162295</v>
      </c>
      <c r="E27" s="25" t="n">
        <f aca="false">E23/E9</f>
        <v>0.0693617369008235</v>
      </c>
      <c r="F27" s="25" t="n">
        <f aca="false">F23/F9</f>
        <v>0.0793782427188578</v>
      </c>
      <c r="G27" s="25" t="n">
        <f aca="false">G23/G9</f>
        <v>0.0823993082475039</v>
      </c>
    </row>
    <row r="28" customFormat="false" ht="15" hidden="false" customHeight="false" outlineLevel="0" collapsed="false">
      <c r="A28" s="5" t="s">
        <v>363</v>
      </c>
      <c r="C28" s="34" t="n">
        <f aca="false">-CF!C41/C9</f>
        <v>0.0773133964424204</v>
      </c>
      <c r="D28" s="34" t="n">
        <f aca="false">-CF!D41/D9</f>
        <v>0.0583690170515336</v>
      </c>
      <c r="E28" s="34" t="n">
        <f aca="false">-CF!E41/E9</f>
        <v>0.0705328709082454</v>
      </c>
      <c r="F28" s="34" t="n">
        <f aca="false">-CF!F41/F9</f>
        <v>0.0832828789269221</v>
      </c>
      <c r="G28" s="34" t="n">
        <f aca="false">-CF!G41/G9</f>
        <v>0.0849775588162775</v>
      </c>
    </row>
    <row r="29" customFormat="false" ht="15" hidden="false" customHeight="false" outlineLevel="0" collapsed="false">
      <c r="A29" s="6" t="s">
        <v>89</v>
      </c>
      <c r="D29" s="25" t="n">
        <f aca="false">-D24/D22</f>
        <v>0.196068076293266</v>
      </c>
      <c r="E29" s="25" t="n">
        <f aca="false">-E24/E22</f>
        <v>0.203752908411689</v>
      </c>
      <c r="F29" s="25" t="n">
        <f aca="false">-F24/F22</f>
        <v>0.215247039803415</v>
      </c>
      <c r="G29" s="25" t="n">
        <f aca="false">-G24/G22</f>
        <v>0.207607259307943</v>
      </c>
    </row>
    <row r="30" customFormat="false" ht="15" hidden="false" customHeight="false" outlineLevel="0" collapsed="false">
      <c r="A30" s="6" t="s">
        <v>90</v>
      </c>
      <c r="C30" s="25" t="n">
        <f aca="false">IS!C32/C9</f>
        <v>0.0545055442641077</v>
      </c>
      <c r="D30" s="25" t="n">
        <f aca="false">IS!D32/D9</f>
        <v>0.0492560921362169</v>
      </c>
      <c r="E30" s="25" t="n">
        <f aca="false">IS!E32/E9</f>
        <v>0.0538093893254574</v>
      </c>
      <c r="F30" s="25" t="n">
        <f aca="false">IS!F32/F9</f>
        <v>0.0594000168924166</v>
      </c>
      <c r="G30" s="25" t="n">
        <f aca="false">IS!G32/G9</f>
        <v>0.050170850845305</v>
      </c>
    </row>
    <row r="31" customFormat="false" ht="15" hidden="false" customHeight="false" outlineLevel="0" collapsed="false">
      <c r="A31" s="6" t="s">
        <v>364</v>
      </c>
      <c r="C31" s="40" t="n">
        <f aca="false">-CF!C41/IS!C32</f>
        <v>1.41845013174801</v>
      </c>
      <c r="D31" s="40" t="n">
        <f aca="false">-CF!D41/IS!D32</f>
        <v>1.18501112289045</v>
      </c>
      <c r="E31" s="40" t="n">
        <f aca="false">-CF!E41/IS!E32</f>
        <v>1.31079114244614</v>
      </c>
      <c r="F31" s="40" t="n">
        <f aca="false">-CF!F41/IS!F32</f>
        <v>1.40206827007745</v>
      </c>
      <c r="G31" s="40" t="n">
        <f aca="false">-CF!G41/IS!G32</f>
        <v>1.69376355761425</v>
      </c>
    </row>
    <row r="33" customFormat="false" ht="15" hidden="false" customHeight="false" outlineLevel="0" collapsed="false">
      <c r="A33" s="23" t="s">
        <v>365</v>
      </c>
      <c r="B33" s="24"/>
      <c r="C33" s="24"/>
      <c r="D33" s="24"/>
      <c r="E33" s="24"/>
      <c r="F33" s="24"/>
      <c r="G33" s="24"/>
    </row>
    <row r="34" customFormat="false" ht="15" hidden="false" customHeight="false" outlineLevel="0" collapsed="false">
      <c r="A34" s="6" t="s">
        <v>174</v>
      </c>
      <c r="C34" s="13" t="n">
        <f aca="false">Historicals!C74</f>
        <v>3683.902</v>
      </c>
      <c r="D34" s="13" t="n">
        <f aca="false">Historicals!D74</f>
        <v>3915.932</v>
      </c>
      <c r="E34" s="13" t="n">
        <f aca="false">Historicals!E74</f>
        <v>4012.685</v>
      </c>
      <c r="F34" s="13" t="n">
        <f aca="false">Historicals!F74</f>
        <v>3921.636</v>
      </c>
      <c r="G34" s="13" t="n">
        <f aca="false">Historicals!G74</f>
        <v>3816.737</v>
      </c>
    </row>
    <row r="35" customFormat="false" ht="15" hidden="false" customHeight="false" outlineLevel="0" collapsed="false">
      <c r="A35" s="6" t="s">
        <v>366</v>
      </c>
      <c r="C35" s="13" t="n">
        <f aca="false">-CF!C22</f>
        <v>1300.978</v>
      </c>
      <c r="D35" s="13" t="n">
        <f aca="false">-CF!D22</f>
        <v>615.536</v>
      </c>
      <c r="E35" s="13" t="n">
        <f aca="false">-CF!E22</f>
        <v>469.89</v>
      </c>
      <c r="F35" s="13" t="n">
        <f aca="false">-CF!F22</f>
        <v>1644.428</v>
      </c>
      <c r="G35" s="13" t="n">
        <f aca="false">-CF!G22</f>
        <v>1430.633</v>
      </c>
    </row>
    <row r="36" customFormat="false" ht="15" hidden="false" customHeight="false" outlineLevel="0" collapsed="false">
      <c r="A36" s="6" t="s">
        <v>151</v>
      </c>
      <c r="C36" s="13" t="n">
        <f aca="false">BS!C18</f>
        <v>73609.564</v>
      </c>
      <c r="D36" s="13" t="n">
        <f aca="false">BS!D18</f>
        <v>77169.854</v>
      </c>
      <c r="E36" s="13" t="n">
        <f aca="false">BS!E18</f>
        <v>78544.404</v>
      </c>
      <c r="F36" s="13" t="n">
        <f aca="false">BS!F18</f>
        <v>78782.813</v>
      </c>
      <c r="G36" s="13" t="n">
        <f aca="false">BS!G18</f>
        <v>75326.273</v>
      </c>
    </row>
    <row r="38" customFormat="false" ht="15" hidden="false" customHeight="false" outlineLevel="0" collapsed="false">
      <c r="A38" s="23" t="s">
        <v>367</v>
      </c>
      <c r="B38" s="24"/>
      <c r="C38" s="24"/>
      <c r="D38" s="24"/>
      <c r="E38" s="24"/>
      <c r="F38" s="24"/>
      <c r="G38" s="24"/>
    </row>
    <row r="39" customFormat="false" ht="15" hidden="false" customHeight="false" outlineLevel="0" collapsed="false">
      <c r="A39" s="6" t="s">
        <v>303</v>
      </c>
      <c r="C39" s="13" t="n">
        <f aca="false">BS!C40</f>
        <v>48311.149</v>
      </c>
      <c r="D39" s="13" t="n">
        <f aca="false">BS!D40</f>
        <v>46414.104</v>
      </c>
      <c r="E39" s="13" t="n">
        <f aca="false">BS!E40</f>
        <v>57294.988</v>
      </c>
      <c r="F39" s="13" t="n">
        <f aca="false">BS!F40</f>
        <v>64429.869</v>
      </c>
      <c r="G39" s="13" t="n">
        <f aca="false">BS!G40</f>
        <v>74028.285</v>
      </c>
    </row>
    <row r="40" customFormat="false" ht="15" hidden="false" customHeight="false" outlineLevel="0" collapsed="false">
      <c r="A40" s="6" t="s">
        <v>368</v>
      </c>
      <c r="D40" s="32" t="n">
        <f aca="false">AVERAGE(C39,D39)</f>
        <v>47362.6265</v>
      </c>
      <c r="E40" s="32" t="n">
        <f aca="false">AVERAGE(D39,E39)</f>
        <v>51854.546</v>
      </c>
      <c r="F40" s="32" t="n">
        <f aca="false">AVERAGE(E39,F39)</f>
        <v>60862.4285</v>
      </c>
      <c r="G40" s="32" t="n">
        <f aca="false">AVERAGE(F39,G39)</f>
        <v>69229.077</v>
      </c>
    </row>
    <row r="41" customFormat="false" ht="15" hidden="false" customHeight="false" outlineLevel="0" collapsed="false">
      <c r="A41" s="6" t="s">
        <v>123</v>
      </c>
      <c r="B41" s="4" t="s">
        <v>369</v>
      </c>
      <c r="C41" s="13" t="n">
        <f aca="false">-IS!C19</f>
        <v>295.157</v>
      </c>
      <c r="D41" s="13" t="n">
        <f aca="false">-IS!D19</f>
        <v>571.44</v>
      </c>
      <c r="E41" s="13" t="n">
        <f aca="false">-IS!E19</f>
        <v>1170.718</v>
      </c>
      <c r="F41" s="13" t="n">
        <f aca="false">-IS!F19</f>
        <v>1547.313</v>
      </c>
      <c r="G41" s="13" t="n">
        <f aca="false">-IS!G19</f>
        <v>2216.008</v>
      </c>
    </row>
    <row r="42" customFormat="false" ht="15" hidden="false" customHeight="false" outlineLevel="0" collapsed="false">
      <c r="A42" s="5" t="s">
        <v>370</v>
      </c>
      <c r="D42" s="34" t="n">
        <f aca="false">D41/D40</f>
        <v>0.0120652092636797</v>
      </c>
      <c r="E42" s="34" t="n">
        <f aca="false">E41/E40</f>
        <v>0.0225769597905649</v>
      </c>
      <c r="F42" s="34" t="n">
        <f aca="false">F41/F40</f>
        <v>0.0254231229041411</v>
      </c>
      <c r="G42" s="34" t="n">
        <f aca="false">G41/G40</f>
        <v>0.0320097868703348</v>
      </c>
    </row>
    <row r="43" customFormat="false" ht="15" hidden="false" customHeight="false" outlineLevel="0" collapsed="false">
      <c r="A43" s="6" t="s">
        <v>134</v>
      </c>
      <c r="C43" s="13" t="n">
        <f aca="false">BS!C9</f>
        <v>49855.053</v>
      </c>
      <c r="D43" s="13" t="n">
        <f aca="false">BS!D9</f>
        <v>61546.836</v>
      </c>
      <c r="E43" s="13" t="n">
        <f aca="false">BS!E9</f>
        <v>87455.916</v>
      </c>
      <c r="F43" s="13" t="n">
        <f aca="false">BS!F9</f>
        <v>117459.25</v>
      </c>
      <c r="G43" s="13" t="n">
        <f aca="false">BS!G9</f>
        <v>151172.175</v>
      </c>
    </row>
    <row r="44" customFormat="false" ht="15" hidden="false" customHeight="false" outlineLevel="0" collapsed="false">
      <c r="A44" s="6" t="s">
        <v>371</v>
      </c>
      <c r="D44" s="32" t="n">
        <f aca="false">AVERAGE(C43,D43)</f>
        <v>55700.9445</v>
      </c>
      <c r="E44" s="32" t="n">
        <f aca="false">AVERAGE(D43,E43)</f>
        <v>74501.376</v>
      </c>
      <c r="F44" s="32" t="n">
        <f aca="false">AVERAGE(E43,F43)</f>
        <v>102457.583</v>
      </c>
      <c r="G44" s="32" t="n">
        <f aca="false">AVERAGE(F43,G43)</f>
        <v>134315.7125</v>
      </c>
    </row>
    <row r="45" customFormat="false" ht="15" hidden="false" customHeight="false" outlineLevel="0" collapsed="false">
      <c r="A45" s="6" t="s">
        <v>120</v>
      </c>
      <c r="C45" s="13" t="n">
        <f aca="false">IS!C18</f>
        <v>429.643</v>
      </c>
      <c r="D45" s="13" t="n">
        <f aca="false">IS!D18</f>
        <v>609.613</v>
      </c>
      <c r="E45" s="13" t="n">
        <f aca="false">IS!E18</f>
        <v>2070.115</v>
      </c>
      <c r="F45" s="13" t="n">
        <f aca="false">IS!F18</f>
        <v>3406.797</v>
      </c>
      <c r="G45" s="13" t="n">
        <f aca="false">IS!G18</f>
        <v>3716.575</v>
      </c>
    </row>
    <row r="46" customFormat="false" ht="15" hidden="false" customHeight="false" outlineLevel="0" collapsed="false">
      <c r="A46" s="6" t="s">
        <v>372</v>
      </c>
      <c r="D46" s="25" t="n">
        <f aca="false">D45/D44</f>
        <v>0.0109443925138469</v>
      </c>
      <c r="E46" s="25" t="n">
        <f aca="false">E45/E44</f>
        <v>0.0277862653167641</v>
      </c>
      <c r="F46" s="25" t="n">
        <f aca="false">F45/F44</f>
        <v>0.0332508038960864</v>
      </c>
      <c r="G46" s="25" t="n">
        <f aca="false">G45/G44</f>
        <v>0.0276704410141144</v>
      </c>
    </row>
    <row r="48" customFormat="false" ht="15" hidden="false" customHeight="false" outlineLevel="0" collapsed="false">
      <c r="A48" s="23" t="s">
        <v>373</v>
      </c>
      <c r="B48" s="24"/>
      <c r="C48" s="24"/>
      <c r="D48" s="24"/>
      <c r="E48" s="24"/>
      <c r="F48" s="24"/>
      <c r="G48" s="24"/>
    </row>
    <row r="49" customFormat="false" ht="15" hidden="false" customHeight="false" outlineLevel="0" collapsed="false">
      <c r="A49" s="6" t="s">
        <v>80</v>
      </c>
      <c r="C49" s="14" t="n">
        <f aca="false">IS!C42</f>
        <v>0.200078719985971</v>
      </c>
      <c r="D49" s="14" t="n">
        <f aca="false">IS!D42</f>
        <v>0.196993407054482</v>
      </c>
      <c r="E49" s="14" t="n">
        <f aca="false">IS!E42</f>
        <v>0.200685040170234</v>
      </c>
      <c r="F49" s="14" t="n">
        <f aca="false">IS!F42</f>
        <v>0.212888907839148</v>
      </c>
      <c r="G49" s="14" t="n">
        <f aca="false">IS!G42</f>
        <v>0.226819121244583</v>
      </c>
    </row>
    <row r="50" customFormat="false" ht="15" hidden="false" customHeight="false" outlineLevel="0" collapsed="false">
      <c r="A50" s="6" t="s">
        <v>374</v>
      </c>
      <c r="C50" s="25" t="n">
        <f aca="false">-CF!C15/IS!C22</f>
        <v>0.153502653438363</v>
      </c>
      <c r="D50" s="25" t="n">
        <f aca="false">-CF!D15/IS!D22</f>
        <v>0.132628774050262</v>
      </c>
      <c r="E50" s="25" t="n">
        <f aca="false">-CF!E15/IS!E22</f>
        <v>0.144454688654446</v>
      </c>
      <c r="F50" s="25" t="n">
        <f aca="false">-CF!F15/IS!F22</f>
        <v>0.172185498733446</v>
      </c>
      <c r="G50" s="25" t="n">
        <f aca="false">-CF!G15/IS!G22</f>
        <v>0.102230628558515</v>
      </c>
    </row>
    <row r="52" customFormat="false" ht="15" hidden="false" customHeight="false" outlineLevel="0" collapsed="false">
      <c r="A52" s="23" t="s">
        <v>375</v>
      </c>
      <c r="B52" s="24"/>
      <c r="C52" s="24"/>
      <c r="D52" s="24"/>
      <c r="E52" s="24"/>
      <c r="F52" s="24"/>
      <c r="G52" s="24"/>
    </row>
    <row r="53" customFormat="false" ht="15" hidden="false" customHeight="false" outlineLevel="0" collapsed="false">
      <c r="A53" s="6" t="s">
        <v>376</v>
      </c>
      <c r="C53" s="13" t="n">
        <f aca="false">IS!C28</f>
        <v>2597.5433</v>
      </c>
      <c r="D53" s="13" t="n">
        <f aca="false">IS!D28</f>
        <v>2597.5433</v>
      </c>
      <c r="E53" s="13" t="n">
        <f aca="false">IS!E28</f>
        <v>2597.5433</v>
      </c>
      <c r="F53" s="13" t="n">
        <f aca="false">IS!F28</f>
        <v>2597.5433</v>
      </c>
      <c r="G53" s="13" t="n">
        <f aca="false">IS!G28</f>
        <v>2597.5433</v>
      </c>
    </row>
    <row r="54" customFormat="false" ht="15" hidden="false" customHeight="false" outlineLevel="0" collapsed="false">
      <c r="A54" s="6" t="s">
        <v>377</v>
      </c>
      <c r="C54" s="13" t="n">
        <f aca="false">-CF!C30</f>
        <v>14286.48</v>
      </c>
      <c r="D54" s="13" t="n">
        <f aca="false">-CF!D30</f>
        <v>14286.479</v>
      </c>
      <c r="E54" s="13" t="n">
        <f aca="false">-CF!E30</f>
        <v>25559.802</v>
      </c>
      <c r="F54" s="13" t="n">
        <f aca="false">-CF!F30</f>
        <v>16702.171</v>
      </c>
      <c r="G54" s="13" t="n">
        <f aca="false">-CF!G30</f>
        <v>18182.803</v>
      </c>
    </row>
    <row r="55" customFormat="false" ht="15" hidden="false" customHeight="false" outlineLevel="0" collapsed="false">
      <c r="A55" s="6" t="s">
        <v>378</v>
      </c>
      <c r="C55" s="44" t="n">
        <f aca="false">C54/C53</f>
        <v>5.49999686241996</v>
      </c>
      <c r="D55" s="44" t="n">
        <f aca="false">D54/D53</f>
        <v>5.49999647744082</v>
      </c>
      <c r="E55" s="44" t="n">
        <f aca="false">E54/E53</f>
        <v>9.83999073278201</v>
      </c>
      <c r="F55" s="44" t="n">
        <f aca="false">F54/F53</f>
        <v>6.42998751936108</v>
      </c>
      <c r="G55" s="44" t="n">
        <f aca="false">G54/G53</f>
        <v>6.99999996150209</v>
      </c>
    </row>
    <row r="56" customFormat="false" ht="15" hidden="false" customHeight="false" outlineLevel="0" collapsed="false">
      <c r="A56" s="5" t="s">
        <v>379</v>
      </c>
      <c r="B56" s="4" t="s">
        <v>380</v>
      </c>
      <c r="D56" s="34" t="n">
        <f aca="false">D54/IS!C26</f>
        <v>0.533151141526917</v>
      </c>
      <c r="E56" s="34" t="n">
        <f aca="false">E54/IS!D26</f>
        <v>0.78246540227115</v>
      </c>
      <c r="F56" s="34" t="n">
        <f aca="false">F54/IS!E26</f>
        <v>0.500174843786802</v>
      </c>
      <c r="G56" s="34" t="n">
        <f aca="false">G54/IS!F26</f>
        <v>0.516137878631884</v>
      </c>
    </row>
    <row r="57" customFormat="false" ht="15" hidden="false" customHeight="false" outlineLevel="0" collapsed="false">
      <c r="A57" s="6" t="s">
        <v>381</v>
      </c>
      <c r="C57" s="25" t="n">
        <f aca="false">-IS!C25/IS!C24</f>
        <v>0.0597535730172107</v>
      </c>
      <c r="D57" s="25" t="n">
        <f aca="false">-IS!D25/IS!D24</f>
        <v>0.116921430440236</v>
      </c>
      <c r="E57" s="25" t="n">
        <f aca="false">-IS!E25/IS!E24</f>
        <v>0.141143266471739</v>
      </c>
      <c r="F57" s="25" t="n">
        <f aca="false">-IS!F25/IS!F24</f>
        <v>0.127813379680177</v>
      </c>
      <c r="G57" s="25" t="n">
        <f aca="false">-IS!G25/IS!G24</f>
        <v>0.11522423326272</v>
      </c>
    </row>
    <row r="59" customFormat="false" ht="15" hidden="false" customHeight="false" outlineLevel="0" collapsed="false">
      <c r="A59" s="23" t="s">
        <v>382</v>
      </c>
      <c r="B59" s="24"/>
      <c r="C59" s="24"/>
      <c r="D59" s="24"/>
      <c r="E59" s="24"/>
      <c r="F59" s="24"/>
      <c r="G59" s="24"/>
    </row>
    <row r="60" customFormat="false" ht="15" hidden="false" customHeight="false" outlineLevel="0" collapsed="false">
      <c r="A60" s="5" t="s">
        <v>383</v>
      </c>
      <c r="D60" s="34" t="n">
        <f aca="false">IS!D26/AVERAGE(BS!C33,BS!D33)</f>
        <v>0.191265092431458</v>
      </c>
      <c r="E60" s="34" t="n">
        <f aca="false">IS!E26/AVERAGE(BS!D33,BS!E33)</f>
        <v>0.173040200510589</v>
      </c>
      <c r="F60" s="34" t="n">
        <f aca="false">IS!F26/AVERAGE(BS!E33,BS!F33)</f>
        <v>0.164139730588996</v>
      </c>
      <c r="G60" s="34" t="n">
        <f aca="false">IS!G26/AVERAGE(BS!F33,BS!G33)</f>
        <v>0.241328799389444</v>
      </c>
    </row>
    <row r="61" customFormat="false" ht="15" hidden="false" customHeight="false" outlineLevel="0" collapsed="false">
      <c r="A61" s="6" t="s">
        <v>384</v>
      </c>
      <c r="D61" s="40" t="n">
        <f aca="false">D9/AVERAGE(BS!C21,BS!D21)</f>
        <v>0.972060824389995</v>
      </c>
      <c r="E61" s="40" t="n">
        <f aca="false">E9/AVERAGE(BS!D21,BS!E21)</f>
        <v>0.90814224810821</v>
      </c>
      <c r="F61" s="40" t="n">
        <f aca="false">F9/AVERAGE(BS!E21,BS!F21)</f>
        <v>0.851108947179855</v>
      </c>
      <c r="G61" s="40" t="n">
        <f aca="false">G9/AVERAGE(BS!F21,BS!G21)</f>
        <v>0.947293964152272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0"/>
    <col collapsed="false" customWidth="true" hidden="false" outlineLevel="0" max="7" min="3" style="1" width="12"/>
    <col collapsed="false" customWidth="true" hidden="false" outlineLevel="0" max="8" min="8" style="1" width="3"/>
    <col collapsed="false" customWidth="true" hidden="false" outlineLevel="0" max="10" min="9" style="1" width="12"/>
    <col collapsed="false" customWidth="true" hidden="false" outlineLevel="0" max="12" min="12" style="1" width="12"/>
  </cols>
  <sheetData>
    <row r="1" customFormat="false" ht="17.35" hidden="false" customHeight="false" outlineLevel="0" collapsed="false">
      <c r="A1" s="18" t="s">
        <v>385</v>
      </c>
    </row>
    <row r="2" customFormat="false" ht="15" hidden="false" customHeight="false" outlineLevel="0" collapsed="false">
      <c r="A2" s="19" t="s">
        <v>386</v>
      </c>
    </row>
    <row r="3" customFormat="false" ht="15" hidden="false" customHeight="false" outlineLevel="0" collapsed="false">
      <c r="A3" s="6" t="s">
        <v>387</v>
      </c>
      <c r="B3" s="16" t="n">
        <v>0.01</v>
      </c>
    </row>
    <row r="4" customFormat="false" ht="15" hidden="false" customHeight="false" outlineLevel="0" collapsed="false">
      <c r="A4" s="6" t="s">
        <v>388</v>
      </c>
      <c r="B4" s="16" t="n">
        <v>0.02</v>
      </c>
      <c r="I4" s="19" t="s">
        <v>105</v>
      </c>
    </row>
    <row r="5" customFormat="false" ht="15" hidden="false" customHeight="false" outlineLevel="0" collapsed="false">
      <c r="A5" s="21" t="s">
        <v>57</v>
      </c>
      <c r="B5" s="21" t="s">
        <v>58</v>
      </c>
      <c r="C5" s="12" t="s">
        <v>59</v>
      </c>
      <c r="D5" s="12" t="s">
        <v>60</v>
      </c>
      <c r="E5" s="12" t="s">
        <v>26</v>
      </c>
      <c r="F5" s="12" t="s">
        <v>27</v>
      </c>
      <c r="G5" s="12" t="s">
        <v>28</v>
      </c>
      <c r="I5" s="12" t="s">
        <v>106</v>
      </c>
      <c r="J5" s="12" t="s">
        <v>29</v>
      </c>
      <c r="L5" s="21" t="s">
        <v>389</v>
      </c>
    </row>
    <row r="6" customFormat="false" ht="15" hidden="false" customHeight="false" outlineLevel="0" collapsed="false">
      <c r="C6" s="22" t="s">
        <v>62</v>
      </c>
      <c r="D6" s="22" t="s">
        <v>63</v>
      </c>
      <c r="E6" s="22" t="s">
        <v>64</v>
      </c>
      <c r="F6" s="22" t="s">
        <v>65</v>
      </c>
      <c r="G6" s="22" t="s">
        <v>66</v>
      </c>
      <c r="I6" s="22" t="s">
        <v>107</v>
      </c>
      <c r="J6" s="22" t="s">
        <v>108</v>
      </c>
    </row>
    <row r="8" customFormat="false" ht="15" hidden="false" customHeight="false" outlineLevel="0" collapsed="false">
      <c r="A8" s="23" t="s">
        <v>270</v>
      </c>
      <c r="B8" s="24"/>
      <c r="C8" s="24"/>
      <c r="D8" s="24"/>
      <c r="E8" s="24"/>
      <c r="F8" s="24"/>
      <c r="G8" s="24"/>
      <c r="I8" s="24"/>
      <c r="J8" s="24"/>
    </row>
    <row r="9" customFormat="false" ht="15" hidden="false" customHeight="false" outlineLevel="0" collapsed="false">
      <c r="A9" s="6" t="s">
        <v>390</v>
      </c>
      <c r="C9" s="45" t="b">
        <f aca="false">ABS(BS!C37)&lt;=$B$3</f>
        <v>1</v>
      </c>
      <c r="D9" s="45" t="b">
        <f aca="false">ABS(BS!D37)&lt;=$B$3</f>
        <v>1</v>
      </c>
      <c r="E9" s="45" t="b">
        <f aca="false">ABS(BS!E37)&lt;=$B$3</f>
        <v>1</v>
      </c>
      <c r="F9" s="45" t="b">
        <f aca="false">ABS(BS!F37)&lt;=$B$3</f>
        <v>1</v>
      </c>
      <c r="G9" s="45" t="b">
        <f aca="false">ABS(BS!G37)&lt;=$B$3</f>
        <v>1</v>
      </c>
      <c r="I9" s="45" t="b">
        <f aca="false">ABS(BS!I37)&lt;=$B$3</f>
        <v>1</v>
      </c>
      <c r="J9" s="45" t="b">
        <f aca="false">ABS(BS!J37)&lt;=$B$3</f>
        <v>1</v>
      </c>
      <c r="L9" s="46" t="b">
        <f aca="false">AND(C9,D9,E9,F9,G9,I9,J9)</f>
        <v>1</v>
      </c>
    </row>
    <row r="10" customFormat="false" ht="15" hidden="false" customHeight="false" outlineLevel="0" collapsed="false">
      <c r="A10" s="6" t="s">
        <v>391</v>
      </c>
      <c r="C10" s="45" t="b">
        <f aca="false">ABS(BS!C21-Historicals!C52)&lt;=$B$3</f>
        <v>1</v>
      </c>
      <c r="D10" s="45" t="b">
        <f aca="false">ABS(BS!D21-Historicals!D52)&lt;=$B$3</f>
        <v>1</v>
      </c>
      <c r="E10" s="45" t="b">
        <f aca="false">ABS(BS!E21-Historicals!E52)&lt;=$B$3</f>
        <v>1</v>
      </c>
      <c r="F10" s="45" t="b">
        <f aca="false">ABS(BS!F21-Historicals!F52)&lt;=$B$3</f>
        <v>1</v>
      </c>
      <c r="G10" s="45" t="b">
        <f aca="false">ABS(BS!G21-Historicals!G52)&lt;=$B$3</f>
        <v>1</v>
      </c>
      <c r="I10" s="45" t="b">
        <f aca="false">ABS(BS!I21-Historicals!I52)&lt;=$B$3</f>
        <v>1</v>
      </c>
      <c r="J10" s="45" t="b">
        <f aca="false">ABS(BS!J21-Historicals!J52)&lt;=$B$3</f>
        <v>1</v>
      </c>
      <c r="L10" s="46" t="b">
        <f aca="false">AND(C10,D10,E10,F10,G10,I10,J10)</f>
        <v>1</v>
      </c>
    </row>
    <row r="11" customFormat="false" ht="15" hidden="false" customHeight="false" outlineLevel="0" collapsed="false">
      <c r="A11" s="6" t="s">
        <v>392</v>
      </c>
      <c r="C11" s="45" t="b">
        <f aca="false">ABS(BS!C32-Historicals!C64)&lt;=$B$3</f>
        <v>1</v>
      </c>
      <c r="D11" s="45" t="b">
        <f aca="false">ABS(BS!D32-Historicals!D64)&lt;=$B$3</f>
        <v>1</v>
      </c>
      <c r="E11" s="45" t="b">
        <f aca="false">ABS(BS!E32-Historicals!E64)&lt;=$B$3</f>
        <v>1</v>
      </c>
      <c r="F11" s="45" t="b">
        <f aca="false">ABS(BS!F32-Historicals!F64)&lt;=$B$3</f>
        <v>1</v>
      </c>
      <c r="G11" s="45" t="b">
        <f aca="false">ABS(BS!G32-Historicals!G64)&lt;=$B$3</f>
        <v>1</v>
      </c>
      <c r="I11" s="45" t="b">
        <f aca="false">ABS(BS!I32-Historicals!I64)&lt;=$B$3</f>
        <v>1</v>
      </c>
      <c r="J11" s="45" t="b">
        <f aca="false">ABS(BS!J32-Historicals!J64)&lt;=$B$3</f>
        <v>1</v>
      </c>
      <c r="L11" s="46" t="b">
        <f aca="false">AND(C11,D11,E11,F11,G11,I11,J11)</f>
        <v>1</v>
      </c>
    </row>
    <row r="12" customFormat="false" ht="15" hidden="false" customHeight="false" outlineLevel="0" collapsed="false">
      <c r="A12" s="6" t="s">
        <v>393</v>
      </c>
      <c r="C12" s="45" t="b">
        <f aca="false">ABS(BS!C35-Historicals!C68)&lt;=$B$3</f>
        <v>1</v>
      </c>
      <c r="D12" s="45" t="b">
        <f aca="false">ABS(BS!D35-Historicals!D68)&lt;=$B$3</f>
        <v>1</v>
      </c>
      <c r="E12" s="45" t="b">
        <f aca="false">ABS(BS!E35-Historicals!E68)&lt;=$B$3</f>
        <v>1</v>
      </c>
      <c r="F12" s="45" t="b">
        <f aca="false">ABS(BS!F35-Historicals!F68)&lt;=$B$3</f>
        <v>1</v>
      </c>
      <c r="G12" s="45" t="b">
        <f aca="false">ABS(BS!G35-Historicals!G68)&lt;=$B$3</f>
        <v>1</v>
      </c>
      <c r="I12" s="45" t="b">
        <f aca="false">ABS(BS!I35-Historicals!I68)&lt;=$B$3</f>
        <v>1</v>
      </c>
      <c r="J12" s="45" t="b">
        <f aca="false">ABS(BS!J35-Historicals!J68)&lt;=$B$3</f>
        <v>1</v>
      </c>
      <c r="L12" s="46" t="b">
        <f aca="false">AND(C12,D12,E12,F12,G12,I12,J12)</f>
        <v>1</v>
      </c>
    </row>
    <row r="14" customFormat="false" ht="15" hidden="false" customHeight="false" outlineLevel="0" collapsed="false">
      <c r="A14" s="23" t="s">
        <v>109</v>
      </c>
      <c r="B14" s="24"/>
      <c r="C14" s="24"/>
      <c r="D14" s="24"/>
      <c r="E14" s="24"/>
      <c r="F14" s="24"/>
      <c r="G14" s="24"/>
      <c r="I14" s="24"/>
      <c r="J14" s="24"/>
    </row>
    <row r="15" customFormat="false" ht="15" hidden="false" customHeight="false" outlineLevel="0" collapsed="false">
      <c r="A15" s="6" t="s">
        <v>394</v>
      </c>
      <c r="C15" s="45" t="b">
        <f aca="false">ABS(IS!C11-Historicals!C11)&lt;=$B$3</f>
        <v>1</v>
      </c>
      <c r="D15" s="45" t="b">
        <f aca="false">ABS(IS!D11-Historicals!D11)&lt;=$B$3</f>
        <v>1</v>
      </c>
      <c r="E15" s="45" t="b">
        <f aca="false">ABS(IS!E11-Historicals!E11)&lt;=$B$3</f>
        <v>1</v>
      </c>
      <c r="F15" s="45" t="b">
        <f aca="false">ABS(IS!F11-Historicals!F11)&lt;=$B$3</f>
        <v>1</v>
      </c>
      <c r="G15" s="45" t="b">
        <f aca="false">ABS(IS!G11-Historicals!G11)&lt;=$B$3</f>
        <v>1</v>
      </c>
      <c r="I15" s="45" t="b">
        <f aca="false">ABS(IS!I11-Historicals!I11)&lt;=$B$3</f>
        <v>1</v>
      </c>
      <c r="J15" s="45" t="b">
        <f aca="false">ABS(IS!J11-Historicals!J11)&lt;=$B$3</f>
        <v>1</v>
      </c>
      <c r="L15" s="46" t="b">
        <f aca="false">AND(C15,D15,E15,F15,G15,I15,J15)</f>
        <v>1</v>
      </c>
    </row>
    <row r="16" customFormat="false" ht="15" hidden="false" customHeight="false" outlineLevel="0" collapsed="false">
      <c r="A16" s="6" t="s">
        <v>395</v>
      </c>
      <c r="C16" s="45" t="b">
        <f aca="false">ABS(IS!C16-Historicals!C16)&lt;=$B$3</f>
        <v>1</v>
      </c>
      <c r="D16" s="45" t="b">
        <f aca="false">ABS(IS!D16-Historicals!D16)&lt;=$B$3</f>
        <v>1</v>
      </c>
      <c r="E16" s="45" t="b">
        <f aca="false">ABS(IS!E16-Historicals!E16)&lt;=$B$3</f>
        <v>1</v>
      </c>
      <c r="F16" s="45" t="b">
        <f aca="false">ABS(IS!F16-Historicals!F16)&lt;=$B$3</f>
        <v>1</v>
      </c>
      <c r="G16" s="45" t="b">
        <f aca="false">ABS(IS!G16-Historicals!G16)&lt;=$B$3</f>
        <v>1</v>
      </c>
      <c r="I16" s="45" t="b">
        <f aca="false">ABS(IS!I16-Historicals!I16)&lt;=$B$3</f>
        <v>1</v>
      </c>
      <c r="J16" s="45" t="b">
        <f aca="false">ABS(IS!J16-Historicals!J16)&lt;=$B$3</f>
        <v>1</v>
      </c>
      <c r="L16" s="46" t="b">
        <f aca="false">AND(C16,D16,E16,F16,G16,I16,J16)</f>
        <v>1</v>
      </c>
    </row>
    <row r="17" customFormat="false" ht="15" hidden="false" customHeight="false" outlineLevel="0" collapsed="false">
      <c r="A17" s="6" t="s">
        <v>396</v>
      </c>
      <c r="C17" s="45" t="b">
        <f aca="false">ABS(IS!C17-Historicals!C17)&lt;=$B$3</f>
        <v>1</v>
      </c>
      <c r="D17" s="45" t="b">
        <f aca="false">ABS(IS!D17-Historicals!D17)&lt;=$B$3</f>
        <v>1</v>
      </c>
      <c r="E17" s="45" t="b">
        <f aca="false">ABS(IS!E17-Historicals!E17)&lt;=$B$3</f>
        <v>1</v>
      </c>
      <c r="F17" s="45" t="b">
        <f aca="false">ABS(IS!F17-Historicals!F17)&lt;=$B$3</f>
        <v>1</v>
      </c>
      <c r="G17" s="45" t="b">
        <f aca="false">ABS(IS!G17-Historicals!G17)&lt;=$B$3</f>
        <v>1</v>
      </c>
      <c r="I17" s="45" t="b">
        <f aca="false">ABS(IS!I17-Historicals!I17)&lt;=$B$3</f>
        <v>1</v>
      </c>
      <c r="J17" s="45" t="b">
        <f aca="false">ABS(IS!J17-Historicals!J17)&lt;=$B$3</f>
        <v>1</v>
      </c>
      <c r="L17" s="46" t="b">
        <f aca="false">AND(C17,D17,E17,F17,G17,I17,J17)</f>
        <v>1</v>
      </c>
    </row>
    <row r="18" customFormat="false" ht="15" hidden="false" customHeight="false" outlineLevel="0" collapsed="false">
      <c r="A18" s="6" t="s">
        <v>397</v>
      </c>
      <c r="C18" s="45" t="b">
        <f aca="false">ABS(IS!C21-Historicals!C23)&lt;=$B$3</f>
        <v>1</v>
      </c>
      <c r="D18" s="45" t="b">
        <f aca="false">ABS(IS!D21-Historicals!D23)&lt;=$B$3</f>
        <v>1</v>
      </c>
      <c r="E18" s="45" t="b">
        <f aca="false">ABS(IS!E21-Historicals!E23)&lt;=$B$3</f>
        <v>1</v>
      </c>
      <c r="F18" s="45" t="b">
        <f aca="false">ABS(IS!F21-Historicals!F23)&lt;=$B$3</f>
        <v>1</v>
      </c>
      <c r="G18" s="45" t="b">
        <f aca="false">ABS(IS!G21-Historicals!G23)&lt;=$B$3</f>
        <v>1</v>
      </c>
      <c r="I18" s="45" t="b">
        <f aca="false">ABS(IS!I21-Historicals!I23)&lt;=$B$3</f>
        <v>1</v>
      </c>
      <c r="J18" s="45" t="b">
        <f aca="false">ABS(IS!J21-Historicals!J23)&lt;=$B$3</f>
        <v>1</v>
      </c>
      <c r="L18" s="46" t="b">
        <f aca="false">AND(C18,D18,E18,F18,G18,I18,J18)</f>
        <v>1</v>
      </c>
    </row>
    <row r="19" customFormat="false" ht="15" hidden="false" customHeight="false" outlineLevel="0" collapsed="false">
      <c r="A19" s="6" t="s">
        <v>398</v>
      </c>
      <c r="C19" s="45" t="b">
        <f aca="false">ABS(IS!C22-Historicals!C24)&lt;=$B$3</f>
        <v>1</v>
      </c>
      <c r="D19" s="45" t="b">
        <f aca="false">ABS(IS!D22-Historicals!D24)&lt;=$B$3</f>
        <v>1</v>
      </c>
      <c r="E19" s="45" t="b">
        <f aca="false">ABS(IS!E22-Historicals!E24)&lt;=$B$3</f>
        <v>1</v>
      </c>
      <c r="F19" s="45" t="b">
        <f aca="false">ABS(IS!F22-Historicals!F24)&lt;=$B$3</f>
        <v>1</v>
      </c>
      <c r="G19" s="45" t="b">
        <f aca="false">ABS(IS!G22-Historicals!G24)&lt;=$B$3</f>
        <v>1</v>
      </c>
      <c r="I19" s="45" t="b">
        <f aca="false">ABS(IS!I22-Historicals!I24)&lt;=$B$3</f>
        <v>1</v>
      </c>
      <c r="J19" s="45" t="b">
        <f aca="false">ABS(IS!J22-Historicals!J24)&lt;=$B$3</f>
        <v>1</v>
      </c>
      <c r="L19" s="46" t="b">
        <f aca="false">AND(C19,D19,E19,F19,G19,I19,J19)</f>
        <v>1</v>
      </c>
    </row>
    <row r="20" customFormat="false" ht="15" hidden="false" customHeight="false" outlineLevel="0" collapsed="false">
      <c r="A20" s="6" t="s">
        <v>399</v>
      </c>
      <c r="C20" s="45" t="b">
        <f aca="false">ABS(IS!C24-Historicals!C26)&lt;=$B$3</f>
        <v>1</v>
      </c>
      <c r="D20" s="45" t="b">
        <f aca="false">ABS(IS!D24-Historicals!D26)&lt;=$B$3</f>
        <v>1</v>
      </c>
      <c r="E20" s="45" t="b">
        <f aca="false">ABS(IS!E24-Historicals!E26)&lt;=$B$3</f>
        <v>1</v>
      </c>
      <c r="F20" s="45" t="b">
        <f aca="false">ABS(IS!F24-Historicals!F26)&lt;=$B$3</f>
        <v>1</v>
      </c>
      <c r="G20" s="45" t="b">
        <f aca="false">ABS(IS!G24-Historicals!G26)&lt;=$B$3</f>
        <v>1</v>
      </c>
      <c r="I20" s="45" t="b">
        <f aca="false">ABS(IS!I24-Historicals!I26)&lt;=$B$3</f>
        <v>1</v>
      </c>
      <c r="J20" s="45" t="b">
        <f aca="false">ABS(IS!J24-Historicals!J26)&lt;=$B$3</f>
        <v>1</v>
      </c>
      <c r="L20" s="46" t="b">
        <f aca="false">AND(C20,D20,E20,F20,G20,I20,J20)</f>
        <v>1</v>
      </c>
    </row>
    <row r="21" customFormat="false" ht="15" hidden="false" customHeight="false" outlineLevel="0" collapsed="false">
      <c r="A21" s="6" t="s">
        <v>400</v>
      </c>
      <c r="C21" s="45" t="b">
        <f aca="false">ABS(IS!C26-Historicals!C27)&lt;=$B$3</f>
        <v>1</v>
      </c>
      <c r="D21" s="45" t="b">
        <f aca="false">ABS(IS!D26-Historicals!D27)&lt;=$B$3</f>
        <v>1</v>
      </c>
      <c r="E21" s="45" t="b">
        <f aca="false">ABS(IS!E26-Historicals!E27)&lt;=$B$3</f>
        <v>1</v>
      </c>
      <c r="F21" s="45" t="b">
        <f aca="false">ABS(IS!F26-Historicals!F27)&lt;=$B$3</f>
        <v>1</v>
      </c>
      <c r="G21" s="45" t="b">
        <f aca="false">ABS(IS!G26-Historicals!G27)&lt;=$B$3</f>
        <v>1</v>
      </c>
      <c r="I21" s="45" t="b">
        <f aca="false">ABS(IS!I26-Historicals!I27)&lt;=$B$3</f>
        <v>1</v>
      </c>
      <c r="J21" s="45" t="b">
        <f aca="false">ABS(IS!J26-Historicals!J27)&lt;=$B$3</f>
        <v>1</v>
      </c>
      <c r="L21" s="46" t="b">
        <f aca="false">AND(C21,D21,E21,F21,G21,I21,J21)</f>
        <v>1</v>
      </c>
    </row>
    <row r="22" customFormat="false" ht="15" hidden="false" customHeight="false" outlineLevel="0" collapsed="false">
      <c r="A22" s="6" t="s">
        <v>401</v>
      </c>
      <c r="B22" s="4" t="s">
        <v>402</v>
      </c>
      <c r="C22" s="45" t="b">
        <f aca="false">ABS(IS!C29-Historicals!C29)&lt;=$B$4</f>
        <v>1</v>
      </c>
      <c r="D22" s="45" t="b">
        <f aca="false">ABS(IS!D29-Historicals!D29)&lt;=$B$4</f>
        <v>1</v>
      </c>
      <c r="E22" s="45" t="b">
        <f aca="false">ABS(IS!E29-Historicals!E29)&lt;=$B$4</f>
        <v>1</v>
      </c>
      <c r="F22" s="45" t="b">
        <f aca="false">ABS(IS!F29-Historicals!F29)&lt;=$B$4</f>
        <v>1</v>
      </c>
      <c r="G22" s="45" t="b">
        <f aca="false">ABS(IS!G29-Historicals!G29)&lt;=$B$4</f>
        <v>1</v>
      </c>
      <c r="I22" s="45" t="b">
        <f aca="false">ABS(IS!I29-Historicals!I29)&lt;=$B$4</f>
        <v>1</v>
      </c>
      <c r="J22" s="45" t="b">
        <f aca="false">ABS(IS!J29-Historicals!J29)&lt;=$B$4</f>
        <v>1</v>
      </c>
      <c r="L22" s="46" t="b">
        <f aca="false">AND(C22,D22,E22,F22,G22,I22,J22)</f>
        <v>1</v>
      </c>
    </row>
    <row r="24" customFormat="false" ht="15" hidden="false" customHeight="false" outlineLevel="0" collapsed="false">
      <c r="A24" s="23" t="s">
        <v>403</v>
      </c>
      <c r="B24" s="24"/>
      <c r="C24" s="24"/>
      <c r="D24" s="24"/>
      <c r="E24" s="24"/>
      <c r="F24" s="24"/>
      <c r="G24" s="24"/>
      <c r="I24" s="24"/>
      <c r="J24" s="24"/>
    </row>
    <row r="25" customFormat="false" ht="15" hidden="false" customHeight="false" outlineLevel="0" collapsed="false">
      <c r="A25" s="6" t="s">
        <v>404</v>
      </c>
      <c r="C25" s="45" t="b">
        <f aca="false">ABS(CF!C9-IS!C22)&lt;=$B$3</f>
        <v>1</v>
      </c>
      <c r="D25" s="45" t="b">
        <f aca="false">ABS(CF!D9-IS!D22)&lt;=$B$3</f>
        <v>1</v>
      </c>
      <c r="E25" s="45" t="b">
        <f aca="false">ABS(CF!E9-IS!E22)&lt;=$B$3</f>
        <v>1</v>
      </c>
      <c r="F25" s="45" t="b">
        <f aca="false">ABS(CF!F9-IS!F22)&lt;=$B$3</f>
        <v>1</v>
      </c>
      <c r="G25" s="45" t="b">
        <f aca="false">ABS(CF!G9-IS!G22)&lt;=$B$3</f>
        <v>1</v>
      </c>
      <c r="I25" s="45" t="b">
        <f aca="false">ABS(CF!I9-IS!I22)&lt;=$B$3</f>
        <v>1</v>
      </c>
      <c r="J25" s="45" t="b">
        <f aca="false">ABS(CF!J9-IS!J22)&lt;=$B$3</f>
        <v>1</v>
      </c>
      <c r="L25" s="46" t="b">
        <f aca="false">AND(C25,D25,E25,F25,G25,I25,J25)</f>
        <v>1</v>
      </c>
    </row>
    <row r="26" customFormat="false" ht="15" hidden="false" customHeight="false" outlineLevel="0" collapsed="false">
      <c r="A26" s="6" t="s">
        <v>405</v>
      </c>
      <c r="C26" s="45" t="b">
        <f aca="false">ABS(CF!C36-Historicals!C96)&lt;=$B$3</f>
        <v>1</v>
      </c>
      <c r="D26" s="45" t="b">
        <f aca="false">ABS(CF!D36-Historicals!D96)&lt;=$B$3</f>
        <v>1</v>
      </c>
      <c r="E26" s="45" t="b">
        <f aca="false">ABS(CF!E36-Historicals!E96)&lt;=$B$3</f>
        <v>1</v>
      </c>
      <c r="F26" s="45" t="b">
        <f aca="false">ABS(CF!F36-Historicals!F96)&lt;=$B$3</f>
        <v>1</v>
      </c>
      <c r="G26" s="45" t="b">
        <f aca="false">ABS(CF!G36-Historicals!G96)&lt;=$B$3</f>
        <v>1</v>
      </c>
      <c r="I26" s="45" t="b">
        <f aca="false">ABS(CF!I36-Historicals!I96)&lt;=$B$3</f>
        <v>1</v>
      </c>
      <c r="J26" s="45" t="b">
        <f aca="false">ABS(CF!J36-Historicals!J96)&lt;=$B$3</f>
        <v>1</v>
      </c>
      <c r="L26" s="46" t="b">
        <f aca="false">AND(C26,D26,E26,F26,G26,I26,J26)</f>
        <v>1</v>
      </c>
    </row>
    <row r="27" customFormat="false" ht="15" hidden="false" customHeight="false" outlineLevel="0" collapsed="false">
      <c r="A27" s="6" t="s">
        <v>406</v>
      </c>
      <c r="C27" s="45" t="b">
        <f aca="false">ABS(CF!C38-BS!C9)&lt;=$B$3</f>
        <v>1</v>
      </c>
      <c r="D27" s="45" t="b">
        <f aca="false">ABS(CF!D38-BS!D9)&lt;=$B$3</f>
        <v>1</v>
      </c>
      <c r="E27" s="45" t="b">
        <f aca="false">ABS(CF!E38-BS!E9)&lt;=$B$3</f>
        <v>1</v>
      </c>
      <c r="F27" s="45" t="b">
        <f aca="false">ABS(CF!F38-BS!F9)&lt;=$B$3</f>
        <v>1</v>
      </c>
      <c r="G27" s="45" t="b">
        <f aca="false">ABS(CF!G38-BS!G9)&lt;=$B$3</f>
        <v>1</v>
      </c>
      <c r="I27" s="45" t="b">
        <f aca="false">ABS(CF!I38-BS!I9)&lt;=$B$3</f>
        <v>1</v>
      </c>
      <c r="J27" s="45" t="b">
        <f aca="false">ABS(CF!J38-BS!J9)&lt;=$B$3</f>
        <v>1</v>
      </c>
      <c r="L27" s="46" t="b">
        <f aca="false">AND(C27,D27,E27,F27,G27,I27,J27)</f>
        <v>1</v>
      </c>
    </row>
    <row r="29" customFormat="false" ht="15" hidden="false" customHeight="false" outlineLevel="0" collapsed="false">
      <c r="A29" s="23" t="s">
        <v>40</v>
      </c>
      <c r="B29" s="24"/>
      <c r="C29" s="24"/>
      <c r="D29" s="24"/>
      <c r="E29" s="24"/>
      <c r="F29" s="24"/>
      <c r="G29" s="24"/>
      <c r="I29" s="24"/>
      <c r="J29" s="24"/>
    </row>
    <row r="30" customFormat="false" ht="15" hidden="false" customHeight="false" outlineLevel="0" collapsed="false">
      <c r="A30" s="6" t="s">
        <v>407</v>
      </c>
      <c r="C30" s="45" t="b">
        <f aca="false">ABS(Segments!C21-IS!C17)&lt;=$B$3</f>
        <v>1</v>
      </c>
      <c r="D30" s="45" t="b">
        <f aca="false">ABS(Segments!D21-IS!D17)&lt;=$B$3</f>
        <v>1</v>
      </c>
      <c r="E30" s="45" t="b">
        <f aca="false">ABS(Segments!E21-IS!E17)&lt;=$B$3</f>
        <v>1</v>
      </c>
      <c r="F30" s="45" t="b">
        <f aca="false">ABS(Segments!F21-IS!F17)&lt;=$B$3</f>
        <v>1</v>
      </c>
      <c r="G30" s="45" t="b">
        <f aca="false">ABS(Segments!G21-IS!G17)&lt;=$B$3</f>
        <v>1</v>
      </c>
      <c r="I30" s="45" t="b">
        <f aca="false">ABS(Segments!I21-IS!I17)&lt;=$B$3</f>
        <v>1</v>
      </c>
      <c r="J30" s="45" t="b">
        <f aca="false">ABS(Segments!J21-IS!J17)&lt;=$B$3</f>
        <v>1</v>
      </c>
      <c r="L30" s="46" t="b">
        <f aca="false">AND(C30,D30,E30,F30,G30,I30,J30)</f>
        <v>1</v>
      </c>
    </row>
    <row r="31" customFormat="false" ht="15" hidden="false" customHeight="false" outlineLevel="0" collapsed="false">
      <c r="A31" s="6" t="s">
        <v>408</v>
      </c>
      <c r="C31" s="45" t="b">
        <f aca="false">ABS(Segments!C13)&lt;0.005*IS!C9</f>
        <v>1</v>
      </c>
      <c r="D31" s="45" t="b">
        <f aca="false">ABS(Segments!D13)&lt;0.005*IS!D9</f>
        <v>1</v>
      </c>
      <c r="E31" s="45" t="b">
        <f aca="false">ABS(Segments!E13)&lt;0.005*IS!E9</f>
        <v>1</v>
      </c>
      <c r="F31" s="45" t="b">
        <f aca="false">ABS(Segments!F13)&lt;0.005*IS!F9</f>
        <v>1</v>
      </c>
      <c r="G31" s="45" t="b">
        <f aca="false">ABS(Segments!G13)&lt;0.005*IS!G9</f>
        <v>1</v>
      </c>
      <c r="I31" s="45" t="b">
        <f aca="false">ABS(Segments!I13)&lt;0.005*IS!I9</f>
        <v>1</v>
      </c>
      <c r="J31" s="45" t="b">
        <f aca="false">ABS(Segments!J13)&lt;0.005*IS!J9</f>
        <v>1</v>
      </c>
      <c r="L31" s="46" t="b">
        <f aca="false">AND(C31,D31,E31,F31,G31,I31,J31)</f>
        <v>1</v>
      </c>
    </row>
    <row r="33" customFormat="false" ht="15" hidden="false" customHeight="false" outlineLevel="0" collapsed="false">
      <c r="A33" s="23" t="s">
        <v>409</v>
      </c>
      <c r="B33" s="24"/>
      <c r="C33" s="24"/>
      <c r="D33" s="24"/>
      <c r="E33" s="24"/>
      <c r="F33" s="24"/>
      <c r="G33" s="24"/>
      <c r="I33" s="24"/>
      <c r="J33" s="24"/>
    </row>
    <row r="34" customFormat="false" ht="15" hidden="false" customHeight="false" outlineLevel="0" collapsed="false">
      <c r="A34" s="6" t="s">
        <v>410</v>
      </c>
      <c r="B34" s="4" t="s">
        <v>411</v>
      </c>
      <c r="C34" s="45" t="b">
        <f aca="false">Historicals!C103=Historicals!C102</f>
        <v>1</v>
      </c>
      <c r="L34" s="46" t="b">
        <f aca="false">AND(C34)</f>
        <v>1</v>
      </c>
    </row>
    <row r="36" customFormat="false" ht="15" hidden="false" customHeight="false" outlineLevel="0" collapsed="false">
      <c r="A36" s="8" t="s">
        <v>412</v>
      </c>
      <c r="L36" s="47" t="b">
        <f aca="false">AND(L9,L10,L11,L12,L15,L16,L17,L18,L19,L20,L21,L22,L25,L26,L27,L30,L31,L34)</f>
        <v>1</v>
      </c>
    </row>
  </sheetData>
  <conditionalFormatting sqref="C8:L36">
    <cfRule type="expression" priority="2" aboveAverage="0" equalAverage="0" bottom="0" percent="0" rank="0" text="" dxfId="0">
      <formula>AND(ISLOGICAL(C8),C8)</formula>
    </cfRule>
    <cfRule type="expression" priority="3" aboveAverage="0" equalAverage="0" bottom="0" percent="0" rank="0" text="" dxfId="1">
      <formula>AND(ISLOGICAL(C8),NOT(C8))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&amp;CDelta Electronics (2308.TW) model - &amp;A -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2026-10-16T19:12:16Z</dcterms:created>
  <dc:creator>openpyxl</dc:creator>
  <dc:description/>
  <dc:language>en-US</dc:language>
  <cp:lastModifiedBy/>
  <dcterms:modified xsi:type="dcterms:W3CDTF">2026-10-16T19:12:16Z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